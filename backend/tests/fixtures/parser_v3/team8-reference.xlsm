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mc:AlternateContent xmlns:mc="http://schemas.openxmlformats.org/markup-compatibility/2006">
    <mc:Choice Requires="x15">
      <x15ac:absPath xmlns:x15ac="http://schemas.microsoft.com/office/spreadsheetml/2010/11/ac" url="/Users/nikitanitzsche-bell/Desktop/"/>
    </mc:Choice>
  </mc:AlternateContent>
  <xr:revisionPtr revIDLastSave="0" documentId="13_ncr:1_{F235264E-E8A3-5B4D-BB40-30E7D1BA4C3B}" xr6:coauthVersionLast="47" xr6:coauthVersionMax="47" xr10:uidLastSave="{00000000-0000-0000-0000-000000000000}"/>
  <bookViews>
    <workbookView xWindow="0" yWindow="500" windowWidth="38400" windowHeight="21100" tabRatio="810" xr2:uid="{00000000-000D-0000-FFFF-FFFF00000000}"/>
  </bookViews>
  <sheets>
    <sheet name="Mass and Energy Balance" sheetId="36" r:id="rId1"/>
    <sheet name="Unit op quantity and sizing" sheetId="29" state="hidden" r:id="rId2"/>
    <sheet name="Enzyme Calcs" sheetId="22" state="hidden" r:id="rId3"/>
    <sheet name="CAPEX - Liquefaction" sheetId="26" state="hidden" r:id="rId4"/>
    <sheet name="Energy calculation" sheetId="24" state="hidden" r:id="rId5"/>
    <sheet name="Module2" sheetId="16" state="veryHidden" r:id=""/>
  </sheets>
  <definedNames>
    <definedName name="_xleta.SUM" hidden="1" xlm="1">#NAME?</definedName>
    <definedName name="_xlnm.Print_Area" localSheetId="3">'CAPEX - Liquefaction'!$A$2:$BJ$65</definedName>
    <definedName name="_xlnm.Print_Area" localSheetId="4">'Energy calculation'!$A$2:$EB$65</definedName>
    <definedName name="_xlnm.Print_Area" localSheetId="2">'Enzyme Calcs'!$A$2:$EB$65</definedName>
    <definedName name="_xlnm.Print_Area" localSheetId="0">'Mass and Energy Balance'!$A$2:$EB$57</definedName>
    <definedName name="_xlnm.Print_Area" localSheetId="1">'Unit op quantity and sizing'!$A$2:$BJ$65</definedName>
  </definedNames>
  <calcPr calcId="191028"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N55" i="36" l="1"/>
  <c r="O20" i="36"/>
  <c r="T20" i="36"/>
  <c r="Y20" i="36"/>
  <c r="AD20" i="36"/>
  <c r="AI20" i="36"/>
  <c r="AN20" i="36"/>
  <c r="AS20" i="36"/>
  <c r="AX20" i="36"/>
  <c r="BC20" i="36"/>
  <c r="BH20" i="36"/>
  <c r="BM20" i="36"/>
  <c r="BR20" i="36"/>
  <c r="BW20" i="36"/>
  <c r="CB20" i="36"/>
  <c r="CG20" i="36"/>
  <c r="CL20" i="36"/>
  <c r="CQ20" i="36"/>
  <c r="CV20" i="36"/>
  <c r="DA20" i="36"/>
  <c r="DF20" i="36"/>
  <c r="Y37" i="36"/>
  <c r="AD37" i="36"/>
  <c r="AI37" i="36"/>
  <c r="AN37" i="36"/>
  <c r="AS37" i="36"/>
  <c r="AX37" i="36"/>
  <c r="T37" i="36"/>
  <c r="O37" i="36"/>
  <c r="O45" i="24" l="1"/>
  <c r="AI32" i="24"/>
  <c r="AN32" i="24" s="1"/>
  <c r="AN45" i="24" s="1"/>
  <c r="AI48" i="24" s="1"/>
  <c r="O11" i="24"/>
  <c r="T11" i="24" s="1"/>
  <c r="T24" i="24" s="1"/>
  <c r="O24" i="24"/>
  <c r="AS32" i="24"/>
  <c r="BC47" i="24"/>
  <c r="AS47" i="24"/>
  <c r="O47" i="24"/>
  <c r="BM26" i="24"/>
  <c r="BR11" i="24" s="1"/>
  <c r="BC26" i="24"/>
  <c r="BH14" i="24" s="1"/>
  <c r="AS26" i="24"/>
  <c r="BM47" i="24"/>
  <c r="AI47" i="24"/>
  <c r="Y47" i="24"/>
  <c r="CG26" i="24"/>
  <c r="BW26" i="24"/>
  <c r="AI26" i="24"/>
  <c r="BA30" i="29"/>
  <c r="BA15" i="29"/>
  <c r="AV63" i="29"/>
  <c r="G6" i="29"/>
  <c r="G6" i="26"/>
  <c r="AV63" i="26"/>
  <c r="DS54" i="22"/>
  <c r="DS38" i="22"/>
  <c r="DS41" i="22"/>
  <c r="BC35" i="24"/>
  <c r="BW23" i="24"/>
  <c r="CG23" i="24" s="1"/>
  <c r="DS11" i="22"/>
  <c r="DA33" i="24"/>
  <c r="BW47" i="24"/>
  <c r="CG13" i="24"/>
  <c r="BW14" i="24"/>
  <c r="CG14" i="24" s="1"/>
  <c r="O13" i="24"/>
  <c r="DN63" i="24"/>
  <c r="BY6" i="24"/>
  <c r="DN63" i="22"/>
  <c r="DF45" i="22"/>
  <c r="DA45" i="22"/>
  <c r="CV45" i="22"/>
  <c r="CQ45" i="22"/>
  <c r="CL45" i="22"/>
  <c r="CG45" i="22"/>
  <c r="CB45" i="22"/>
  <c r="BW45" i="22"/>
  <c r="BR45" i="22"/>
  <c r="BM45" i="22"/>
  <c r="BH45" i="22"/>
  <c r="BC45" i="22"/>
  <c r="AX45" i="22"/>
  <c r="AS45" i="22"/>
  <c r="AN45" i="22"/>
  <c r="AI45" i="22"/>
  <c r="AD45" i="22"/>
  <c r="Y45" i="22"/>
  <c r="T45" i="22"/>
  <c r="O45" i="22"/>
  <c r="DF24" i="22"/>
  <c r="DA24" i="22"/>
  <c r="CV24" i="22"/>
  <c r="CQ24" i="22"/>
  <c r="CL24" i="22"/>
  <c r="CG24" i="22"/>
  <c r="CB24" i="22"/>
  <c r="BW24" i="22"/>
  <c r="BR24" i="22"/>
  <c r="BM24" i="22"/>
  <c r="BH24" i="22"/>
  <c r="BC24" i="22"/>
  <c r="AX24" i="22"/>
  <c r="AS24" i="22"/>
  <c r="AN24" i="22"/>
  <c r="AI24" i="22"/>
  <c r="AD24" i="22"/>
  <c r="Y24" i="22"/>
  <c r="T24" i="22"/>
  <c r="O24" i="22"/>
  <c r="BY6" i="22"/>
  <c r="O17" i="24"/>
  <c r="O16" i="24"/>
  <c r="O15" i="24"/>
  <c r="O14" i="24"/>
  <c r="T14" i="24"/>
  <c r="AS45" i="24"/>
  <c r="AI45" i="24"/>
  <c r="AI11" i="24"/>
  <c r="AN11" i="24" s="1"/>
  <c r="AN24" i="24" s="1"/>
  <c r="AI27" i="24" s="1"/>
  <c r="O12" i="24"/>
  <c r="Y12" i="24" s="1"/>
  <c r="CG35" i="24"/>
  <c r="Y24" i="24"/>
  <c r="BM13" i="24"/>
  <c r="BC13" i="24"/>
  <c r="AI13" i="24"/>
  <c r="AS13" i="24" s="1"/>
  <c r="O32" i="24"/>
  <c r="T32" i="24" s="1"/>
  <c r="T45" i="24" s="1"/>
  <c r="O48" i="24" s="1"/>
  <c r="AI17" i="24"/>
  <c r="AS17" i="24" s="1"/>
  <c r="DA44" i="24"/>
  <c r="BC44" i="24"/>
  <c r="CG44" i="24"/>
  <c r="DA35" i="24"/>
  <c r="AI15" i="24"/>
  <c r="AS15" i="24"/>
  <c r="AI24" i="24"/>
  <c r="AI14" i="24"/>
  <c r="AN14" i="24" s="1"/>
  <c r="AI16" i="24"/>
  <c r="AS16" i="24" s="1"/>
  <c r="AS11" i="24"/>
  <c r="BC11" i="24"/>
  <c r="BM45" i="24"/>
  <c r="BM40" i="24"/>
  <c r="BC17" i="24"/>
  <c r="DA39" i="24"/>
  <c r="AX11" i="24"/>
  <c r="BC16" i="24"/>
  <c r="BC14" i="24"/>
  <c r="BM14" i="24"/>
  <c r="BR14" i="24" s="1"/>
  <c r="BC15" i="24"/>
  <c r="CG40" i="24"/>
  <c r="AS24" i="24"/>
  <c r="BM17" i="24"/>
  <c r="BM11" i="24"/>
  <c r="CQ41" i="24"/>
  <c r="CV41" i="24"/>
  <c r="BM15" i="24"/>
  <c r="BM16" i="24"/>
  <c r="DA40" i="24"/>
  <c r="BW17" i="24"/>
  <c r="CG17" i="24"/>
  <c r="CQ45" i="24"/>
  <c r="BW16" i="24"/>
  <c r="CG16" i="24" s="1"/>
  <c r="BW15" i="24"/>
  <c r="CG15" i="24"/>
  <c r="BC38" i="24"/>
  <c r="BC37" i="24"/>
  <c r="BC36" i="24"/>
  <c r="CG38" i="24"/>
  <c r="DA38" i="24"/>
  <c r="CG36" i="24"/>
  <c r="CG37" i="24"/>
  <c r="DA37" i="24"/>
  <c r="DA36" i="24"/>
  <c r="CB14" i="24" l="1"/>
  <c r="CB24" i="24" s="1"/>
  <c r="BW27" i="24" s="1"/>
  <c r="BH11" i="24"/>
  <c r="BH24" i="24" s="1"/>
  <c r="BC27" i="24" s="1"/>
  <c r="AS14" i="24"/>
  <c r="AX14" i="24" s="1"/>
  <c r="AX24" i="24" s="1"/>
  <c r="AS27" i="24" s="1"/>
  <c r="BR24" i="24"/>
  <c r="BM27" i="24" s="1"/>
  <c r="CQ11" i="24"/>
  <c r="CQ24" i="24" s="1"/>
  <c r="AX32" i="24"/>
  <c r="AX45" i="24" s="1"/>
  <c r="AS48" i="24" s="1"/>
  <c r="BW11" i="24"/>
  <c r="CG11" i="24" s="1"/>
  <c r="CL11" i="24" s="1"/>
  <c r="CL24" i="24" s="1"/>
  <c r="CG27" i="24" s="1"/>
  <c r="DA32" i="24"/>
  <c r="BM24" i="24"/>
  <c r="BC24" i="24"/>
  <c r="CG32" i="24" l="1"/>
  <c r="BC32" i="24"/>
  <c r="BH32" i="24" s="1"/>
  <c r="BH45" i="24" s="1"/>
  <c r="BC48" i="24" s="1"/>
  <c r="Y42" i="24" l="1"/>
  <c r="BC42" i="24"/>
  <c r="CG42" i="24"/>
  <c r="DA42" i="24"/>
  <c r="BW43" i="24"/>
  <c r="CG43" i="24"/>
  <c r="DA43" i="24"/>
  <c r="Y45" i="24"/>
  <c r="BC45" i="24"/>
  <c r="BW45" i="24"/>
  <c r="CG45" i="24"/>
  <c r="DA45" i="24"/>
  <c r="DS12" i="22"/>
  <c r="DS13" i="22" s="1"/>
  <c r="DS14" i="22" s="1"/>
  <c r="DS15" i="22" s="1"/>
  <c r="BW21" i="24"/>
  <c r="CG21" i="24" s="1"/>
  <c r="BW24" i="24"/>
  <c r="CG24" i="24"/>
  <c r="DS21" i="22"/>
  <c r="EH21" i="22"/>
  <c r="DS22" i="22"/>
  <c r="DS24" i="22"/>
  <c r="DS25" i="22"/>
  <c r="DS26" i="22"/>
  <c r="DS27" i="22"/>
  <c r="DS28" i="22"/>
  <c r="DS29" i="22"/>
  <c r="DS30" i="22"/>
  <c r="DS35" i="22"/>
  <c r="DS39" i="22"/>
  <c r="DS42" i="22"/>
  <c r="DS43" i="22"/>
  <c r="DS44" i="22"/>
  <c r="DS46" i="22"/>
  <c r="DS47" i="22"/>
  <c r="DS51" i="22"/>
  <c r="DS55" i="22"/>
  <c r="DS58" i="22"/>
  <c r="DS59" i="22"/>
  <c r="DS60" i="22"/>
  <c r="BA12" i="29"/>
  <c r="BA16" i="29"/>
  <c r="BA19" i="29"/>
  <c r="BA20" i="29"/>
  <c r="BA21" i="29"/>
  <c r="BA22" i="29"/>
  <c r="BA27" i="29"/>
  <c r="BA31" i="29"/>
  <c r="BA34" i="29"/>
  <c r="BA35" i="29"/>
  <c r="BA36" i="29"/>
  <c r="BA37" i="29"/>
</calcChain>
</file>

<file path=xl/sharedStrings.xml><?xml version="1.0" encoding="utf-8"?>
<sst xmlns="http://schemas.openxmlformats.org/spreadsheetml/2006/main" count="608" uniqueCount="211">
  <si>
    <t>CLIENT:</t>
  </si>
  <si>
    <t>LOCATION:</t>
  </si>
  <si>
    <t>PROJECT:</t>
  </si>
  <si>
    <t>JOB NO.:</t>
  </si>
  <si>
    <t xml:space="preserve"> REV.</t>
  </si>
  <si>
    <t>DESCRIPTION</t>
  </si>
  <si>
    <t>DATE</t>
  </si>
  <si>
    <t>BY</t>
  </si>
  <si>
    <t>CHECK</t>
  </si>
  <si>
    <t>APPROVED</t>
  </si>
  <si>
    <t>DOCUMENT NO.</t>
  </si>
  <si>
    <t>OF</t>
  </si>
  <si>
    <t>CALCULATION SHEET</t>
  </si>
  <si>
    <t>SUBJECT:</t>
  </si>
  <si>
    <t>DOCUMENT NO.:</t>
  </si>
  <si>
    <t>EQUIPMENT ITEM NO.:</t>
  </si>
  <si>
    <t>Rev.</t>
  </si>
  <si>
    <t>PAGE</t>
  </si>
  <si>
    <t>GROUP NO.:</t>
  </si>
  <si>
    <t>Componet</t>
  </si>
  <si>
    <t>kg/h</t>
  </si>
  <si>
    <t>Water</t>
  </si>
  <si>
    <t>Chaff</t>
  </si>
  <si>
    <t>Starch</t>
  </si>
  <si>
    <t>Glucose</t>
  </si>
  <si>
    <t>Protein</t>
  </si>
  <si>
    <t>Fibre</t>
  </si>
  <si>
    <t>Ash</t>
  </si>
  <si>
    <t>Total</t>
  </si>
  <si>
    <t>P (barg)</t>
  </si>
  <si>
    <r>
      <t>T (</t>
    </r>
    <r>
      <rPr>
        <sz val="6.5"/>
        <rFont val="Calibri"/>
        <family val="2"/>
      </rPr>
      <t>°</t>
    </r>
    <r>
      <rPr>
        <sz val="6.5"/>
        <rFont val="Arial"/>
        <family val="2"/>
      </rPr>
      <t xml:space="preserve">C) </t>
    </r>
  </si>
  <si>
    <r>
      <rPr>
        <sz val="6.5"/>
        <rFont val="Calibri"/>
        <family val="2"/>
      </rPr>
      <t>∆</t>
    </r>
    <r>
      <rPr>
        <sz val="6.5"/>
        <rFont val="Arial"/>
        <family val="2"/>
      </rPr>
      <t>H (kJ/h)</t>
    </r>
  </si>
  <si>
    <t>Wheat Intake</t>
  </si>
  <si>
    <t>Chaff removed in Mill</t>
  </si>
  <si>
    <t>Ethanol</t>
  </si>
  <si>
    <t>Yeast</t>
  </si>
  <si>
    <t>Carbon Dioxide</t>
  </si>
  <si>
    <t>Wheat Flour to Slurry Tank</t>
  </si>
  <si>
    <t>Slurry to Jet Cooker</t>
  </si>
  <si>
    <t>NA</t>
  </si>
  <si>
    <t>Coates Chemicals</t>
  </si>
  <si>
    <t>Lazenby, Middlesbrough, TS10 4RG</t>
  </si>
  <si>
    <t>Production Capacity Increase</t>
  </si>
  <si>
    <t>Bioethanol Plant</t>
  </si>
  <si>
    <t>Stream number:</t>
  </si>
  <si>
    <t>Stream description:</t>
  </si>
  <si>
    <t>Hot Slurry to Liquefaction</t>
  </si>
  <si>
    <t>α-amylase</t>
  </si>
  <si>
    <t xml:space="preserve"> m³/h</t>
  </si>
  <si>
    <t>Density</t>
  </si>
  <si>
    <t>Rhizozyme</t>
  </si>
  <si>
    <t>Water to Slurry Tank</t>
  </si>
  <si>
    <t xml:space="preserve">α-amylase to Liquefaction </t>
  </si>
  <si>
    <t>Water to Mash Cooler</t>
  </si>
  <si>
    <t>Water out of Mash Cooler</t>
  </si>
  <si>
    <t>Steam into Jet Cooker</t>
  </si>
  <si>
    <t>%</t>
  </si>
  <si>
    <t>Further Calculations</t>
  </si>
  <si>
    <t>Units</t>
  </si>
  <si>
    <t>Dextrins</t>
  </si>
  <si>
    <t>Fermented Mash to Distillation</t>
  </si>
  <si>
    <t>Hot Mash to Cooler</t>
  </si>
  <si>
    <t>Cool Mash to Fermenter</t>
  </si>
  <si>
    <t>Cool Mash to Yeast Tank</t>
  </si>
  <si>
    <t>Yeast + Mash to Fermenter</t>
  </si>
  <si>
    <t>Carbon Dioxide to CCS</t>
  </si>
  <si>
    <t>Slurry to Cooking Column</t>
  </si>
  <si>
    <t>Yeast to Yeast Tank</t>
  </si>
  <si>
    <t>Water/Steam</t>
  </si>
  <si>
    <t>m</t>
  </si>
  <si>
    <t>alcohol textbook just saying add alpha-amylase at 0.04-0.08% of the cereal weight, so maybe just that?</t>
  </si>
  <si>
    <t>X</t>
  </si>
  <si>
    <t>Backset to Slurry Tank</t>
  </si>
  <si>
    <t>Glucoamylase</t>
  </si>
  <si>
    <t>Glucoamylase to Yeast Tank</t>
  </si>
  <si>
    <t>unitless</t>
  </si>
  <si>
    <t>kJ/hr</t>
  </si>
  <si>
    <t>N/A</t>
  </si>
  <si>
    <t>HC(kJ/K kg)</t>
  </si>
  <si>
    <t>m3/h</t>
  </si>
  <si>
    <t>Number of tanks</t>
  </si>
  <si>
    <t>h</t>
  </si>
  <si>
    <t>m3</t>
  </si>
  <si>
    <t>Density of α-amylase</t>
  </si>
  <si>
    <t>kg/m3</t>
  </si>
  <si>
    <t>Mass of α-amylase</t>
  </si>
  <si>
    <t>Volume of α-amylase</t>
  </si>
  <si>
    <t>L/h</t>
  </si>
  <si>
    <r>
      <t>w/w of α-amylase</t>
    </r>
    <r>
      <rPr>
        <vertAlign val="superscript"/>
        <sz val="6.5"/>
        <rFont val="Arial"/>
        <family val="2"/>
      </rPr>
      <t>(3)</t>
    </r>
  </si>
  <si>
    <t>Cost of α-amylase</t>
  </si>
  <si>
    <t>€/h</t>
  </si>
  <si>
    <t>Liquefaction tanks</t>
  </si>
  <si>
    <t>Total vol in</t>
  </si>
  <si>
    <t>Volume of 1 tank</t>
  </si>
  <si>
    <t>Superficial velocity</t>
  </si>
  <si>
    <t>m/s</t>
  </si>
  <si>
    <t>Inlet/outlet pipe diameter</t>
  </si>
  <si>
    <t>Time for liquefaction</t>
  </si>
  <si>
    <t>Time for CIP</t>
  </si>
  <si>
    <t>Total cycle time</t>
  </si>
  <si>
    <t>Time to fill/drain</t>
  </si>
  <si>
    <t>Vol out 1 tank</t>
  </si>
  <si>
    <t>Total vol out</t>
  </si>
  <si>
    <t>Superfcial flow out</t>
  </si>
  <si>
    <t>Fermentation tanks</t>
  </si>
  <si>
    <t>Time for fermentation</t>
  </si>
  <si>
    <t>time to fill % ferm</t>
  </si>
  <si>
    <t>time to fill % liq</t>
  </si>
  <si>
    <t>CAPEX for chosen design process</t>
  </si>
  <si>
    <t>Ethanol (99.9%)</t>
  </si>
  <si>
    <t>Ethanol dehydration</t>
  </si>
  <si>
    <t>Excess wet cake</t>
  </si>
  <si>
    <t>Excess syrup</t>
  </si>
  <si>
    <t>Wet cake &amp; syrup processing (&gt;25% solids)</t>
  </si>
  <si>
    <t>DDGS</t>
  </si>
  <si>
    <t>Market Prices/Costs:</t>
  </si>
  <si>
    <t>Wheat flour (post milling)</t>
  </si>
  <si>
    <t>$/tonne</t>
  </si>
  <si>
    <t>£/tonne</t>
  </si>
  <si>
    <t>£/kWh</t>
  </si>
  <si>
    <t>Process water</t>
  </si>
  <si>
    <t>Natural gas</t>
  </si>
  <si>
    <t>Cooling water</t>
  </si>
  <si>
    <r>
      <t>£/m</t>
    </r>
    <r>
      <rPr>
        <sz val="6.5"/>
        <rFont val="Calibri"/>
        <family val="2"/>
      </rPr>
      <t>³</t>
    </r>
  </si>
  <si>
    <t>Steam 7.5 barg</t>
  </si>
  <si>
    <t>Steam 3.5 barg</t>
  </si>
  <si>
    <t>Electricity</t>
  </si>
  <si>
    <t>Trade effluent</t>
  </si>
  <si>
    <t>Evaporation water treatment</t>
  </si>
  <si>
    <t>TBD</t>
  </si>
  <si>
    <t>Number of slurry mixing tanks</t>
  </si>
  <si>
    <t>Number of cooking columns</t>
  </si>
  <si>
    <t>Number of jet cookers</t>
  </si>
  <si>
    <t>Liquefaction:</t>
  </si>
  <si>
    <t>Number of heat exchangers</t>
  </si>
  <si>
    <t>Steam (7.5 barg) flow</t>
  </si>
  <si>
    <t>Steam (7.5 barg) cost</t>
  </si>
  <si>
    <t>Cooling water flow</t>
  </si>
  <si>
    <t>Cooling water cost</t>
  </si>
  <si>
    <t>Process water flow</t>
  </si>
  <si>
    <t>Process water cost</t>
  </si>
  <si>
    <t>Electricity cost</t>
  </si>
  <si>
    <t>Electricity usage (agitators)</t>
  </si>
  <si>
    <t xml:space="preserve">Number of liquefaction tanks </t>
  </si>
  <si>
    <t>Slurry mixing tank (agitated) cost</t>
  </si>
  <si>
    <t>Jet cooker size</t>
  </si>
  <si>
    <t>Jet cooker cost</t>
  </si>
  <si>
    <t>Cooking column (agitated) size</t>
  </si>
  <si>
    <t>Slurry mixing tank (agitated) size</t>
  </si>
  <si>
    <t>Cooking column (agitated) cost</t>
  </si>
  <si>
    <t>Liquefaction tank (agitated) size</t>
  </si>
  <si>
    <t>Liquefaction tank (agitated) cost</t>
  </si>
  <si>
    <t>Heat exchanger duty</t>
  </si>
  <si>
    <t>Heat exchanger cost</t>
  </si>
  <si>
    <t>Total Liquefaction Cost</t>
  </si>
  <si>
    <t xml:space="preserve">Value </t>
  </si>
  <si>
    <t>Liquefaction Tanks</t>
  </si>
  <si>
    <t>Time to fill &amp; drain as a % of whole cycle</t>
  </si>
  <si>
    <t>Delta T</t>
  </si>
  <si>
    <t xml:space="preserve">Glucoamylase </t>
  </si>
  <si>
    <t>kg</t>
  </si>
  <si>
    <t>kg/kmol</t>
  </si>
  <si>
    <t>kmol</t>
  </si>
  <si>
    <t>Mass in 1 fer tank</t>
  </si>
  <si>
    <t>Mass glucose in 1 tank</t>
  </si>
  <si>
    <t>Mr glucose</t>
  </si>
  <si>
    <t>Moles glucose per tank</t>
  </si>
  <si>
    <t>Mass GA for 1 tank</t>
  </si>
  <si>
    <t>37 degC</t>
  </si>
  <si>
    <t>Cost of GA per hour</t>
  </si>
  <si>
    <t>£</t>
  </si>
  <si>
    <t>60 degC</t>
  </si>
  <si>
    <t>moles glucose for 1 tank</t>
  </si>
  <si>
    <t>volume ga for 1 tank</t>
  </si>
  <si>
    <t>Mass of GA for 1 tank</t>
  </si>
  <si>
    <t>Cost of GA for 1 tank</t>
  </si>
  <si>
    <t>£/h</t>
  </si>
  <si>
    <t>gggggggg</t>
  </si>
  <si>
    <t>Fungal Biofilm Based Lignin Removal</t>
  </si>
  <si>
    <t>Paper Mill</t>
  </si>
  <si>
    <t>Lignin</t>
  </si>
  <si>
    <t>Ammonia</t>
  </si>
  <si>
    <t xml:space="preserve">Enthalpy (kJ/kg)			</t>
  </si>
  <si>
    <t>T (°C)</t>
  </si>
  <si>
    <t>Nottingham, United Kingdom</t>
  </si>
  <si>
    <t>MEB-001</t>
  </si>
  <si>
    <t>pH Adjusted Wastewater to Bioreactor R-001</t>
  </si>
  <si>
    <t>Sulfuric Acid from Supplier to Storage Tank T-001</t>
  </si>
  <si>
    <t>Sulfuric Acid from Storage to pH Adjustment Unit P-001</t>
  </si>
  <si>
    <t>Wastewater Influent to Buffer Tank B-001</t>
  </si>
  <si>
    <t>Wastewater from Buffer Tank to pH Adjustment Unit P-001</t>
  </si>
  <si>
    <t>Sucrose from Supplier to Sucrose Storage Tank T-002</t>
  </si>
  <si>
    <t>Sucrose from Storage to Bioreactor R-001</t>
  </si>
  <si>
    <t>NaOH from supplier to NaOH Storage Tank T-003</t>
  </si>
  <si>
    <t>NaOH from Storage to Bioreactor R-001</t>
  </si>
  <si>
    <t>Pressurised Sterile Air to Bioreactor R-001</t>
  </si>
  <si>
    <t>Vented Gas from R-001 to Atmosphere</t>
  </si>
  <si>
    <t>Treated Wastewater from Bioreactor to Biomass Settler S-001</t>
  </si>
  <si>
    <t>Treated Water Discharge to Mains Circuit</t>
  </si>
  <si>
    <t>Settled Biomass to Anaerobic Digestion</t>
  </si>
  <si>
    <t>Sucrose</t>
  </si>
  <si>
    <t>NaOH</t>
  </si>
  <si>
    <t>Air</t>
  </si>
  <si>
    <t>P (bara)</t>
  </si>
  <si>
    <t>Sulphuric Acid</t>
  </si>
  <si>
    <r>
      <t>CO</t>
    </r>
    <r>
      <rPr>
        <vertAlign val="subscript"/>
        <sz val="6.5"/>
        <rFont val="Arial"/>
        <family val="2"/>
      </rPr>
      <t>2</t>
    </r>
  </si>
  <si>
    <t>Component</t>
  </si>
  <si>
    <t>Stream Description</t>
  </si>
  <si>
    <t>Stream Number</t>
  </si>
  <si>
    <t>Biomass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</si>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</sst>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5" formatCode="0.0000"/>
    <numFmt numFmtId="166" formatCode="0.000"/>
    <numFmt numFmtId="167" formatCode="0.000000"/>
    <numFmt numFmtId="168" formatCode="0.0"/>
  </numFmts>
  <fonts count="15" x14ac:knownFonts="1">
    <font>
      <sz val="10"/>
      <name val="Arial"/>
    </font>
    <font>
      <sz val="8"/>
      <name val="Arial"/>
      <family val="2"/>
    </font>
    <font>
      <b/>
      <sz val="9"/>
      <name val="Arial"/>
      <family val="2"/>
    </font>
    <font>
      <sz val="6.5"/>
      <name val="Arial"/>
      <family val="2"/>
    </font>
    <font>
      <vertAlign val="superscript"/>
      <sz val="6.5"/>
      <name val="Arial"/>
      <family val="2"/>
    </font>
    <font>
      <sz val="6"/>
      <name val="Arial"/>
      <family val="2"/>
    </font>
    <font>
      <b/>
      <sz val="8"/>
      <name val="Arial"/>
      <family val="2"/>
    </font>
    <font>
      <sz val="10"/>
      <name val="Arial"/>
      <family val="2"/>
    </font>
    <font>
      <b/>
      <sz val="14"/>
      <name val="Arial"/>
      <family val="2"/>
    </font>
    <font>
      <sz val="6.5"/>
      <name val="Calibri"/>
      <family val="2"/>
    </font>
    <font>
      <sz val="6.5"/>
      <name val="Abadi"/>
      <family val="2"/>
    </font>
    <font>
      <u/>
      <sz val="10"/>
      <color theme="10"/>
      <name val="Arial"/>
      <family val="2"/>
    </font>
    <font>
      <sz val="9"/>
      <name val="Arial"/>
      <family val="2"/>
    </font>
    <font>
      <sz val="11"/>
      <name val="Arial"/>
      <family val="2"/>
    </font>
    <font>
      <vertAlign val="subscript"/>
      <sz val="6.5"/>
      <name val="Arial"/>
      <family val="2"/>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14999847407452621"/>
        <bgColor indexed="64"/>
      </patternFill>
    </fill>
  </fills>
  <borders count="72">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hair">
        <color indexed="64"/>
      </right>
      <top/>
      <bottom style="hair">
        <color indexed="64"/>
      </bottom>
      <diagonal/>
    </border>
    <border>
      <left/>
      <right style="hair">
        <color indexed="64"/>
      </right>
      <top/>
      <bottom style="thin">
        <color indexed="64"/>
      </bottom>
      <diagonal/>
    </border>
    <border>
      <left/>
      <right style="hair">
        <color indexed="64"/>
      </right>
      <top style="thin">
        <color indexed="64"/>
      </top>
      <bottom/>
      <diagonal/>
    </border>
    <border>
      <left/>
      <right style="hair">
        <color indexed="64"/>
      </right>
      <top/>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style="hair">
        <color indexed="64"/>
      </left>
      <right/>
      <top/>
      <bottom style="hair">
        <color indexed="64"/>
      </bottom>
      <diagonal/>
    </border>
    <border>
      <left style="hair">
        <color indexed="64"/>
      </left>
      <right/>
      <top/>
      <bottom style="thin">
        <color indexed="64"/>
      </bottom>
      <diagonal/>
    </border>
    <border>
      <left/>
      <right/>
      <top style="hair">
        <color indexed="64"/>
      </top>
      <bottom style="hair">
        <color indexed="64"/>
      </bottom>
      <diagonal/>
    </border>
    <border>
      <left style="hair">
        <color indexed="64"/>
      </left>
      <right/>
      <top style="dashed">
        <color indexed="64"/>
      </top>
      <bottom style="dashed">
        <color indexed="64"/>
      </bottom>
      <diagonal/>
    </border>
    <border>
      <left/>
      <right/>
      <top style="dashed">
        <color indexed="64"/>
      </top>
      <bottom style="dashed">
        <color indexed="64"/>
      </bottom>
      <diagonal/>
    </border>
    <border>
      <left/>
      <right style="thin">
        <color indexed="64"/>
      </right>
      <top style="dashed">
        <color indexed="64"/>
      </top>
      <bottom style="dashed">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style="hair">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hair">
        <color indexed="64"/>
      </left>
      <right/>
      <top style="dashed">
        <color indexed="64"/>
      </top>
      <bottom style="thin">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
      <left style="thin">
        <color indexed="64"/>
      </left>
      <right style="thin">
        <color indexed="64"/>
      </right>
      <top/>
      <bottom style="dashed">
        <color indexed="64"/>
      </bottom>
      <diagonal/>
    </border>
    <border>
      <left style="thin">
        <color indexed="64"/>
      </left>
      <right/>
      <top style="thin">
        <color indexed="64"/>
      </top>
      <bottom/>
      <diagonal/>
    </border>
    <border>
      <left style="thin">
        <color indexed="64"/>
      </left>
      <right/>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bottom style="hair">
        <color indexed="64"/>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thin">
        <color indexed="64"/>
      </right>
      <top style="dashed">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dashed">
        <color indexed="64"/>
      </top>
      <bottom style="hair">
        <color indexed="64"/>
      </bottom>
      <diagonal/>
    </border>
    <border>
      <left/>
      <right/>
      <top style="dashed">
        <color indexed="64"/>
      </top>
      <bottom style="hair">
        <color indexed="64"/>
      </bottom>
      <diagonal/>
    </border>
    <border>
      <left/>
      <right style="thin">
        <color indexed="64"/>
      </right>
      <top style="dashed">
        <color indexed="64"/>
      </top>
      <bottom style="hair">
        <color indexed="64"/>
      </bottom>
      <diagonal/>
    </border>
    <border>
      <left style="thin">
        <color indexed="64"/>
      </left>
      <right style="thin">
        <color indexed="64"/>
      </right>
      <top style="thin">
        <color indexed="64"/>
      </top>
      <bottom style="thin">
        <color indexed="64"/>
      </bottom>
      <diagonal/>
    </border>
    <border>
      <left style="hair">
        <color indexed="64"/>
      </left>
      <right/>
      <top style="thin">
        <color indexed="64"/>
      </top>
      <bottom/>
      <diagonal/>
    </border>
    <border>
      <left style="thin">
        <color indexed="64"/>
      </left>
      <right style="thin">
        <color indexed="64"/>
      </right>
      <top style="hair">
        <color indexed="64"/>
      </top>
      <bottom style="hair">
        <color indexed="64"/>
      </bottom>
      <diagonal/>
    </border>
  </borders>
  <cellStyleXfs count="4">
    <xf numFmtId="0" fontId="0" fillId="0" borderId="0"/>
    <xf numFmtId="0" fontId="7" fillId="0" borderId="0"/>
    <xf numFmtId="0" fontId="11" fillId="0" borderId="0" applyNumberFormat="0" applyFill="0" applyBorder="0" applyAlignment="0" applyProtection="0"/>
    <xf numFmtId="164" fontId="7" fillId="0" borderId="0" applyFont="0" applyFill="0" applyBorder="0" applyAlignment="0" applyProtection="0"/>
  </cellStyleXfs>
  <cellXfs count="258">
    <xf numFmtId="0" fontId="0" fillId="0" borderId="0" xfId="0"/>
    <xf numFmtId="0" fontId="3" fillId="0" borderId="1" xfId="0" applyFont="1" applyBorder="1"/>
    <xf numFmtId="0" fontId="3" fillId="0" borderId="10" xfId="0" applyFont="1" applyBorder="1"/>
    <xf numFmtId="0" fontId="3" fillId="0" borderId="12" xfId="1" applyFont="1" applyBorder="1"/>
    <xf numFmtId="0" fontId="3" fillId="0" borderId="5" xfId="1" applyFont="1" applyBorder="1"/>
    <xf numFmtId="0" fontId="3" fillId="0" borderId="15" xfId="1" applyFont="1" applyBorder="1"/>
    <xf numFmtId="0" fontId="1" fillId="0" borderId="6" xfId="1" applyFont="1" applyBorder="1"/>
    <xf numFmtId="0" fontId="7" fillId="0" borderId="0" xfId="1"/>
    <xf numFmtId="0" fontId="3" fillId="0" borderId="9" xfId="1" applyFont="1" applyBorder="1"/>
    <xf numFmtId="0" fontId="3" fillId="0" borderId="10" xfId="1" applyFont="1" applyBorder="1"/>
    <xf numFmtId="0" fontId="3" fillId="0" borderId="13" xfId="1" applyFont="1" applyBorder="1"/>
    <xf numFmtId="0" fontId="3" fillId="0" borderId="0" xfId="1" applyFont="1"/>
    <xf numFmtId="0" fontId="3" fillId="0" borderId="16" xfId="1" applyFont="1" applyBorder="1"/>
    <xf numFmtId="0" fontId="1" fillId="0" borderId="4" xfId="1" applyFont="1" applyBorder="1"/>
    <xf numFmtId="0" fontId="1" fillId="0" borderId="11" xfId="1" applyFont="1" applyBorder="1"/>
    <xf numFmtId="0" fontId="3" fillId="0" borderId="11" xfId="1" applyFont="1" applyBorder="1"/>
    <xf numFmtId="0" fontId="3" fillId="0" borderId="3" xfId="1" applyFont="1" applyBorder="1"/>
    <xf numFmtId="0" fontId="3" fillId="0" borderId="1" xfId="1" applyFont="1" applyBorder="1"/>
    <xf numFmtId="0" fontId="3" fillId="0" borderId="14" xfId="1" applyFont="1" applyBorder="1"/>
    <xf numFmtId="0" fontId="2" fillId="0" borderId="1" xfId="1" applyFont="1" applyBorder="1"/>
    <xf numFmtId="0" fontId="3" fillId="0" borderId="2" xfId="1" applyFont="1" applyBorder="1"/>
    <xf numFmtId="0" fontId="3" fillId="0" borderId="17" xfId="1" applyFont="1" applyBorder="1"/>
    <xf numFmtId="0" fontId="3" fillId="0" borderId="4" xfId="1" applyFont="1" applyBorder="1"/>
    <xf numFmtId="0" fontId="3" fillId="0" borderId="18" xfId="1" applyFont="1" applyBorder="1"/>
    <xf numFmtId="0" fontId="3" fillId="0" borderId="19" xfId="1" applyFont="1" applyBorder="1"/>
    <xf numFmtId="0" fontId="5" fillId="0" borderId="8" xfId="1" applyFont="1" applyBorder="1"/>
    <xf numFmtId="0" fontId="5" fillId="0" borderId="12" xfId="1" applyFont="1" applyBorder="1"/>
    <xf numFmtId="0" fontId="5" fillId="0" borderId="22" xfId="1" applyFont="1" applyBorder="1"/>
    <xf numFmtId="0" fontId="5" fillId="0" borderId="8" xfId="1" applyFont="1" applyBorder="1" applyAlignment="1">
      <alignment horizontal="centerContinuous"/>
    </xf>
    <xf numFmtId="0" fontId="5" fillId="0" borderId="8" xfId="1" applyFont="1" applyBorder="1" applyAlignment="1">
      <alignment horizontal="center"/>
    </xf>
    <xf numFmtId="0" fontId="5" fillId="0" borderId="12" xfId="1" applyFont="1" applyBorder="1" applyAlignment="1">
      <alignment horizontal="center"/>
    </xf>
    <xf numFmtId="0" fontId="5" fillId="0" borderId="5" xfId="1" applyFont="1" applyBorder="1"/>
    <xf numFmtId="0" fontId="5" fillId="0" borderId="5" xfId="1" applyFont="1" applyBorder="1" applyAlignment="1">
      <alignment horizontal="center"/>
    </xf>
    <xf numFmtId="0" fontId="5" fillId="0" borderId="6" xfId="1" applyFont="1" applyBorder="1"/>
    <xf numFmtId="0" fontId="3" fillId="0" borderId="23" xfId="1" applyFont="1" applyBorder="1"/>
    <xf numFmtId="0" fontId="3" fillId="0" borderId="24" xfId="1" applyFont="1" applyBorder="1"/>
    <xf numFmtId="0" fontId="3" fillId="0" borderId="34" xfId="1" applyFont="1" applyBorder="1"/>
    <xf numFmtId="0" fontId="3" fillId="0" borderId="35" xfId="1" applyFont="1" applyBorder="1"/>
    <xf numFmtId="0" fontId="3" fillId="0" borderId="36" xfId="1" applyFont="1" applyBorder="1"/>
    <xf numFmtId="0" fontId="3" fillId="0" borderId="40" xfId="1" applyFont="1" applyBorder="1"/>
    <xf numFmtId="0" fontId="3" fillId="0" borderId="41" xfId="1" applyFont="1" applyBorder="1"/>
    <xf numFmtId="0" fontId="3" fillId="0" borderId="42" xfId="1" applyFont="1" applyBorder="1"/>
    <xf numFmtId="0" fontId="3" fillId="0" borderId="43" xfId="1" applyFont="1" applyBorder="1"/>
    <xf numFmtId="0" fontId="6" fillId="0" borderId="42" xfId="1" applyFont="1" applyBorder="1"/>
    <xf numFmtId="0" fontId="7" fillId="0" borderId="42" xfId="1" applyBorder="1"/>
    <xf numFmtId="0" fontId="4" fillId="0" borderId="42" xfId="1" applyFont="1" applyBorder="1"/>
    <xf numFmtId="0" fontId="3" fillId="0" borderId="44" xfId="1" applyFont="1" applyBorder="1"/>
    <xf numFmtId="0" fontId="3" fillId="0" borderId="26" xfId="1" applyFont="1" applyBorder="1" applyAlignment="1">
      <alignment horizontal="left"/>
    </xf>
    <xf numFmtId="0" fontId="3" fillId="0" borderId="27" xfId="1" applyFont="1" applyBorder="1" applyAlignment="1">
      <alignment horizontal="left"/>
    </xf>
    <xf numFmtId="0" fontId="3" fillId="0" borderId="28" xfId="1" applyFont="1" applyBorder="1" applyAlignment="1">
      <alignment horizontal="left"/>
    </xf>
    <xf numFmtId="0" fontId="3" fillId="0" borderId="46" xfId="1" applyFont="1" applyBorder="1"/>
    <xf numFmtId="0" fontId="5" fillId="0" borderId="7" xfId="1" applyFont="1" applyBorder="1"/>
    <xf numFmtId="0" fontId="7" fillId="0" borderId="38" xfId="1" applyBorder="1"/>
    <xf numFmtId="0" fontId="7" fillId="0" borderId="39" xfId="1" applyBorder="1"/>
    <xf numFmtId="0" fontId="3" fillId="0" borderId="25" xfId="0" applyFont="1" applyBorder="1"/>
    <xf numFmtId="0" fontId="3" fillId="0" borderId="30" xfId="0" applyFont="1" applyBorder="1"/>
    <xf numFmtId="0" fontId="5" fillId="0" borderId="0" xfId="1" applyFont="1" applyAlignment="1">
      <alignment horizontal="center"/>
    </xf>
    <xf numFmtId="0" fontId="3" fillId="0" borderId="47" xfId="1" applyFont="1" applyBorder="1"/>
    <xf numFmtId="0" fontId="3" fillId="0" borderId="53" xfId="1" applyFont="1" applyBorder="1"/>
    <xf numFmtId="0" fontId="5" fillId="0" borderId="0" xfId="1" applyFont="1"/>
    <xf numFmtId="0" fontId="5" fillId="0" borderId="4" xfId="1" applyFont="1" applyBorder="1"/>
    <xf numFmtId="0" fontId="3" fillId="0" borderId="48" xfId="1" applyFont="1" applyBorder="1" applyAlignment="1">
      <alignment horizontal="center"/>
    </xf>
    <xf numFmtId="0" fontId="3" fillId="0" borderId="55" xfId="1" applyFont="1" applyBorder="1"/>
    <xf numFmtId="0" fontId="4" fillId="0" borderId="55" xfId="1" applyFont="1" applyBorder="1"/>
    <xf numFmtId="0" fontId="3" fillId="0" borderId="55" xfId="1" applyFont="1" applyBorder="1" applyAlignment="1">
      <alignment horizontal="center"/>
    </xf>
    <xf numFmtId="0" fontId="3" fillId="0" borderId="8" xfId="1" applyFont="1" applyBorder="1"/>
    <xf numFmtId="0" fontId="3" fillId="0" borderId="25" xfId="1" applyFont="1" applyBorder="1"/>
    <xf numFmtId="0" fontId="11" fillId="0" borderId="0" xfId="2"/>
    <xf numFmtId="0" fontId="0" fillId="0" borderId="0" xfId="1" applyFont="1"/>
    <xf numFmtId="0" fontId="0" fillId="0" borderId="39" xfId="1" applyFont="1" applyBorder="1"/>
    <xf numFmtId="0" fontId="3" fillId="0" borderId="57" xfId="1" applyFont="1" applyBorder="1"/>
    <xf numFmtId="0" fontId="3" fillId="0" borderId="30" xfId="1" applyFont="1" applyBorder="1"/>
    <xf numFmtId="2" fontId="3" fillId="4" borderId="47" xfId="1" applyNumberFormat="1" applyFont="1" applyFill="1" applyBorder="1" applyAlignment="1">
      <alignment horizontal="center"/>
    </xf>
    <xf numFmtId="2" fontId="3" fillId="4" borderId="25" xfId="1" applyNumberFormat="1" applyFont="1" applyFill="1" applyBorder="1" applyAlignment="1">
      <alignment horizontal="center"/>
    </xf>
    <xf numFmtId="2" fontId="3" fillId="4" borderId="46" xfId="1" applyNumberFormat="1" applyFont="1" applyFill="1" applyBorder="1" applyAlignment="1">
      <alignment horizontal="center"/>
    </xf>
    <xf numFmtId="2" fontId="7" fillId="0" borderId="0" xfId="1" applyNumberFormat="1"/>
    <xf numFmtId="2" fontId="0" fillId="0" borderId="0" xfId="1" applyNumberFormat="1" applyFont="1"/>
    <xf numFmtId="0" fontId="5" fillId="0" borderId="20" xfId="1" applyFont="1" applyBorder="1"/>
    <xf numFmtId="0" fontId="3" fillId="0" borderId="21" xfId="1" applyFont="1" applyBorder="1"/>
    <xf numFmtId="0" fontId="3" fillId="0" borderId="65" xfId="1" applyFont="1" applyBorder="1"/>
    <xf numFmtId="0" fontId="12" fillId="0" borderId="18" xfId="1" applyFont="1" applyBorder="1"/>
    <xf numFmtId="0" fontId="13" fillId="0" borderId="20" xfId="1" applyFont="1" applyBorder="1"/>
    <xf numFmtId="0" fontId="3" fillId="0" borderId="45" xfId="1" applyFont="1" applyBorder="1"/>
    <xf numFmtId="0" fontId="12" fillId="0" borderId="45" xfId="1" applyFont="1" applyBorder="1"/>
    <xf numFmtId="0" fontId="3" fillId="0" borderId="62" xfId="1" applyFont="1" applyBorder="1"/>
    <xf numFmtId="0" fontId="3" fillId="0" borderId="63" xfId="1" applyFont="1" applyBorder="1"/>
    <xf numFmtId="0" fontId="4" fillId="0" borderId="63" xfId="1" applyFont="1" applyBorder="1"/>
    <xf numFmtId="167" fontId="3" fillId="0" borderId="47" xfId="1" applyNumberFormat="1" applyFont="1" applyBorder="1" applyAlignment="1">
      <alignment horizontal="center"/>
    </xf>
    <xf numFmtId="167" fontId="3" fillId="0" borderId="25" xfId="1" applyNumberFormat="1" applyFont="1" applyBorder="1" applyAlignment="1">
      <alignment horizontal="center"/>
    </xf>
    <xf numFmtId="167" fontId="3" fillId="0" borderId="46" xfId="1" applyNumberFormat="1" applyFont="1" applyBorder="1" applyAlignment="1">
      <alignment horizontal="center"/>
    </xf>
    <xf numFmtId="167" fontId="3" fillId="0" borderId="48" xfId="1" applyNumberFormat="1" applyFont="1" applyBorder="1" applyAlignment="1">
      <alignment horizontal="center"/>
    </xf>
    <xf numFmtId="166" fontId="3" fillId="0" borderId="47" xfId="1" applyNumberFormat="1" applyFont="1" applyBorder="1" applyAlignment="1">
      <alignment horizontal="center"/>
    </xf>
    <xf numFmtId="166" fontId="3" fillId="0" borderId="25" xfId="1" applyNumberFormat="1" applyFont="1" applyBorder="1" applyAlignment="1">
      <alignment horizontal="center"/>
    </xf>
    <xf numFmtId="166" fontId="3" fillId="0" borderId="46" xfId="1" applyNumberFormat="1" applyFont="1" applyBorder="1" applyAlignment="1">
      <alignment horizontal="center"/>
    </xf>
    <xf numFmtId="166" fontId="3" fillId="0" borderId="48" xfId="1" applyNumberFormat="1" applyFont="1" applyBorder="1" applyAlignment="1">
      <alignment horizontal="center"/>
    </xf>
    <xf numFmtId="166" fontId="3" fillId="5" borderId="47" xfId="1" applyNumberFormat="1" applyFont="1" applyFill="1" applyBorder="1" applyAlignment="1">
      <alignment horizontal="center"/>
    </xf>
    <xf numFmtId="166" fontId="3" fillId="5" borderId="25" xfId="1" applyNumberFormat="1" applyFont="1" applyFill="1" applyBorder="1" applyAlignment="1">
      <alignment horizontal="center"/>
    </xf>
    <xf numFmtId="166" fontId="3" fillId="5" borderId="46" xfId="1" applyNumberFormat="1" applyFont="1" applyFill="1" applyBorder="1" applyAlignment="1">
      <alignment horizontal="center"/>
    </xf>
    <xf numFmtId="167" fontId="3" fillId="5" borderId="25" xfId="1" applyNumberFormat="1" applyFont="1" applyFill="1" applyBorder="1" applyAlignment="1">
      <alignment horizontal="center"/>
    </xf>
    <xf numFmtId="167" fontId="3" fillId="5" borderId="46" xfId="1" applyNumberFormat="1" applyFont="1" applyFill="1" applyBorder="1" applyAlignment="1">
      <alignment horizontal="center"/>
    </xf>
    <xf numFmtId="167" fontId="3" fillId="5" borderId="47" xfId="1" applyNumberFormat="1" applyFont="1" applyFill="1" applyBorder="1" applyAlignment="1">
      <alignment horizontal="center"/>
    </xf>
    <xf numFmtId="0" fontId="3" fillId="0" borderId="25" xfId="1" applyFont="1" applyBorder="1" applyAlignment="1">
      <alignment horizontal="center"/>
    </xf>
    <xf numFmtId="2" fontId="3" fillId="0" borderId="45" xfId="1" applyNumberFormat="1" applyFont="1" applyBorder="1" applyAlignment="1">
      <alignment horizontal="center"/>
    </xf>
    <xf numFmtId="2" fontId="3" fillId="0" borderId="25" xfId="1" applyNumberFormat="1" applyFont="1" applyBorder="1" applyAlignment="1">
      <alignment horizontal="center"/>
    </xf>
    <xf numFmtId="2" fontId="3" fillId="0" borderId="46" xfId="1" applyNumberFormat="1" applyFont="1" applyBorder="1" applyAlignment="1">
      <alignment horizontal="center"/>
    </xf>
    <xf numFmtId="2" fontId="3" fillId="0" borderId="47" xfId="1" applyNumberFormat="1" applyFont="1" applyBorder="1" applyAlignment="1">
      <alignment horizontal="center"/>
    </xf>
    <xf numFmtId="0" fontId="3" fillId="0" borderId="25" xfId="0" applyFont="1" applyBorder="1" applyAlignment="1">
      <alignment horizontal="center"/>
    </xf>
    <xf numFmtId="0" fontId="3" fillId="0" borderId="30" xfId="0" applyFont="1" applyBorder="1" applyAlignment="1">
      <alignment horizontal="center"/>
    </xf>
    <xf numFmtId="0" fontId="8" fillId="0" borderId="5" xfId="0" applyFont="1" applyBorder="1" applyAlignment="1">
      <alignment horizontal="center" vertical="center"/>
    </xf>
    <xf numFmtId="0" fontId="3" fillId="0" borderId="56" xfId="1" applyFont="1" applyBorder="1" applyAlignment="1">
      <alignment horizontal="center"/>
    </xf>
    <xf numFmtId="0" fontId="3" fillId="0" borderId="30" xfId="1" applyFont="1" applyBorder="1" applyAlignment="1">
      <alignment horizontal="center"/>
    </xf>
    <xf numFmtId="0" fontId="3" fillId="0" borderId="58" xfId="1" applyFont="1" applyBorder="1" applyAlignment="1">
      <alignment horizontal="center"/>
    </xf>
    <xf numFmtId="167" fontId="3" fillId="0" borderId="47" xfId="1" applyNumberFormat="1" applyFont="1" applyBorder="1" applyAlignment="1">
      <alignment horizontal="center"/>
    </xf>
    <xf numFmtId="167" fontId="3" fillId="0" borderId="25" xfId="1" applyNumberFormat="1" applyFont="1" applyBorder="1" applyAlignment="1">
      <alignment horizontal="center"/>
    </xf>
    <xf numFmtId="167" fontId="3" fillId="0" borderId="46" xfId="1" applyNumberFormat="1" applyFont="1" applyBorder="1" applyAlignment="1">
      <alignment horizontal="center"/>
    </xf>
    <xf numFmtId="166" fontId="3" fillId="0" borderId="47" xfId="1" applyNumberFormat="1" applyFont="1" applyBorder="1" applyAlignment="1">
      <alignment horizontal="center"/>
    </xf>
    <xf numFmtId="166" fontId="3" fillId="0" borderId="25" xfId="1" applyNumberFormat="1" applyFont="1" applyBorder="1" applyAlignment="1">
      <alignment horizontal="center"/>
    </xf>
    <xf numFmtId="166" fontId="3" fillId="0" borderId="46" xfId="1" applyNumberFormat="1" applyFont="1" applyBorder="1" applyAlignment="1">
      <alignment horizontal="center"/>
    </xf>
    <xf numFmtId="166" fontId="3" fillId="5" borderId="47" xfId="1" applyNumberFormat="1" applyFont="1" applyFill="1" applyBorder="1" applyAlignment="1">
      <alignment horizontal="center"/>
    </xf>
    <xf numFmtId="166" fontId="3" fillId="5" borderId="25" xfId="1" applyNumberFormat="1" applyFont="1" applyFill="1" applyBorder="1" applyAlignment="1">
      <alignment horizontal="center"/>
    </xf>
    <xf numFmtId="166" fontId="3" fillId="5" borderId="46" xfId="1" applyNumberFormat="1" applyFont="1" applyFill="1" applyBorder="1" applyAlignment="1">
      <alignment horizontal="center"/>
    </xf>
    <xf numFmtId="166" fontId="3" fillId="5" borderId="45" xfId="1" applyNumberFormat="1" applyFont="1" applyFill="1" applyBorder="1" applyAlignment="1">
      <alignment horizontal="center"/>
    </xf>
    <xf numFmtId="0" fontId="3" fillId="0" borderId="45" xfId="1" applyFont="1" applyBorder="1" applyAlignment="1">
      <alignment horizontal="center"/>
    </xf>
    <xf numFmtId="0" fontId="3" fillId="0" borderId="25" xfId="1" applyFont="1" applyBorder="1" applyAlignment="1">
      <alignment horizontal="center"/>
    </xf>
    <xf numFmtId="0" fontId="3" fillId="0" borderId="48" xfId="1" applyFont="1" applyBorder="1" applyAlignment="1">
      <alignment horizontal="center"/>
    </xf>
    <xf numFmtId="0" fontId="3" fillId="0" borderId="69" xfId="1" applyFont="1" applyBorder="1" applyAlignment="1">
      <alignment horizontal="center"/>
    </xf>
    <xf numFmtId="0" fontId="3" fillId="0" borderId="47" xfId="1" applyFont="1" applyBorder="1" applyAlignment="1">
      <alignment horizontal="center"/>
    </xf>
    <xf numFmtId="0" fontId="3" fillId="0" borderId="29" xfId="1" applyFont="1" applyBorder="1" applyAlignment="1">
      <alignment horizontal="center"/>
    </xf>
    <xf numFmtId="0" fontId="3" fillId="0" borderId="57" xfId="1" applyFont="1" applyBorder="1" applyAlignment="1">
      <alignment horizontal="center"/>
    </xf>
    <xf numFmtId="0" fontId="5" fillId="0" borderId="38" xfId="1" applyFont="1" applyBorder="1" applyAlignment="1">
      <alignment horizontal="center"/>
    </xf>
    <xf numFmtId="0" fontId="5" fillId="0" borderId="5" xfId="1" applyFont="1" applyBorder="1" applyAlignment="1">
      <alignment horizontal="center"/>
    </xf>
    <xf numFmtId="0" fontId="5" fillId="0" borderId="6" xfId="1" applyFont="1" applyBorder="1" applyAlignment="1">
      <alignment horizontal="center"/>
    </xf>
    <xf numFmtId="0" fontId="5" fillId="0" borderId="39" xfId="1" applyFont="1" applyBorder="1" applyAlignment="1">
      <alignment horizontal="center"/>
    </xf>
    <xf numFmtId="0" fontId="5" fillId="0" borderId="0" xfId="1" applyFont="1" applyAlignment="1">
      <alignment horizontal="center"/>
    </xf>
    <xf numFmtId="0" fontId="5" fillId="0" borderId="4" xfId="1" applyFont="1" applyBorder="1" applyAlignment="1">
      <alignment horizontal="center"/>
    </xf>
    <xf numFmtId="0" fontId="5" fillId="0" borderId="3" xfId="1" applyFont="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3" fillId="0" borderId="0" xfId="1" applyFont="1" applyAlignment="1">
      <alignment horizontal="center"/>
    </xf>
    <xf numFmtId="2" fontId="3" fillId="0" borderId="29" xfId="1" applyNumberFormat="1" applyFont="1" applyBorder="1" applyAlignment="1">
      <alignment horizontal="center"/>
    </xf>
    <xf numFmtId="2" fontId="3" fillId="0" borderId="45" xfId="1" applyNumberFormat="1" applyFont="1" applyBorder="1" applyAlignment="1">
      <alignment horizontal="center"/>
    </xf>
    <xf numFmtId="2" fontId="3" fillId="0" borderId="25" xfId="1" applyNumberFormat="1" applyFont="1" applyBorder="1" applyAlignment="1">
      <alignment horizontal="center"/>
    </xf>
    <xf numFmtId="2" fontId="3" fillId="0" borderId="46" xfId="1" applyNumberFormat="1" applyFont="1" applyBorder="1" applyAlignment="1">
      <alignment horizontal="center"/>
    </xf>
    <xf numFmtId="2" fontId="3" fillId="0" borderId="47" xfId="1" applyNumberFormat="1" applyFont="1" applyBorder="1" applyAlignment="1">
      <alignment horizontal="center"/>
    </xf>
    <xf numFmtId="0" fontId="3" fillId="0" borderId="46" xfId="1" applyFont="1" applyBorder="1" applyAlignment="1">
      <alignment horizontal="center"/>
    </xf>
    <xf numFmtId="0" fontId="3" fillId="0" borderId="26" xfId="1" applyFont="1" applyBorder="1" applyAlignment="1">
      <alignment horizontal="left"/>
    </xf>
    <xf numFmtId="0" fontId="3" fillId="0" borderId="27" xfId="1" applyFont="1" applyBorder="1" applyAlignment="1">
      <alignment horizontal="left"/>
    </xf>
    <xf numFmtId="0" fontId="3" fillId="0" borderId="7" xfId="1" applyFont="1" applyBorder="1" applyAlignment="1">
      <alignment horizontal="center"/>
    </xf>
    <xf numFmtId="0" fontId="3" fillId="0" borderId="8" xfId="1" applyFont="1" applyBorder="1" applyAlignment="1">
      <alignment horizontal="center"/>
    </xf>
    <xf numFmtId="0" fontId="3" fillId="0" borderId="22" xfId="1" applyFont="1" applyBorder="1" applyAlignment="1">
      <alignment horizontal="center"/>
    </xf>
    <xf numFmtId="0" fontId="3" fillId="0" borderId="49" xfId="1" applyFont="1" applyBorder="1" applyAlignment="1">
      <alignment horizontal="center"/>
    </xf>
    <xf numFmtId="1" fontId="3" fillId="0" borderId="47" xfId="1" applyNumberFormat="1" applyFont="1" applyBorder="1" applyAlignment="1">
      <alignment horizontal="center"/>
    </xf>
    <xf numFmtId="1" fontId="3" fillId="0" borderId="25" xfId="1" applyNumberFormat="1" applyFont="1" applyBorder="1" applyAlignment="1">
      <alignment horizontal="center"/>
    </xf>
    <xf numFmtId="1" fontId="3" fillId="0" borderId="46" xfId="1" applyNumberFormat="1" applyFont="1" applyBorder="1" applyAlignment="1">
      <alignment horizontal="center"/>
    </xf>
    <xf numFmtId="0" fontId="3" fillId="0" borderId="24" xfId="1" applyFont="1" applyBorder="1" applyAlignment="1">
      <alignment horizontal="center"/>
    </xf>
    <xf numFmtId="0" fontId="3" fillId="0" borderId="1" xfId="1" applyFont="1" applyBorder="1" applyAlignment="1">
      <alignment horizontal="center"/>
    </xf>
    <xf numFmtId="0" fontId="3" fillId="0" borderId="2" xfId="1" applyFont="1" applyBorder="1" applyAlignment="1">
      <alignment horizontal="center"/>
    </xf>
    <xf numFmtId="0" fontId="3" fillId="0" borderId="28" xfId="1" applyFont="1" applyBorder="1" applyAlignment="1">
      <alignment horizontal="left"/>
    </xf>
    <xf numFmtId="0" fontId="3" fillId="0" borderId="14" xfId="1" applyFont="1" applyBorder="1" applyAlignment="1">
      <alignment horizontal="center"/>
    </xf>
    <xf numFmtId="1" fontId="3" fillId="0" borderId="24" xfId="1" applyNumberFormat="1" applyFont="1" applyBorder="1" applyAlignment="1">
      <alignment horizontal="center"/>
    </xf>
    <xf numFmtId="1" fontId="3" fillId="0" borderId="1" xfId="1" applyNumberFormat="1" applyFont="1" applyBorder="1" applyAlignment="1">
      <alignment horizontal="center"/>
    </xf>
    <xf numFmtId="1" fontId="3" fillId="0" borderId="14" xfId="1" applyNumberFormat="1" applyFont="1" applyBorder="1" applyAlignment="1">
      <alignment horizontal="center"/>
    </xf>
    <xf numFmtId="2" fontId="3" fillId="0" borderId="48" xfId="1" applyNumberFormat="1" applyFont="1" applyBorder="1" applyAlignment="1">
      <alignment horizontal="center"/>
    </xf>
    <xf numFmtId="167" fontId="3" fillId="0" borderId="48" xfId="1" applyNumberFormat="1" applyFont="1" applyBorder="1" applyAlignment="1">
      <alignment horizontal="center"/>
    </xf>
    <xf numFmtId="0" fontId="3" fillId="0" borderId="23" xfId="1" applyFont="1" applyBorder="1" applyAlignment="1">
      <alignment horizontal="center"/>
    </xf>
    <xf numFmtId="0" fontId="3" fillId="0" borderId="10" xfId="1" applyFont="1" applyBorder="1" applyAlignment="1">
      <alignment horizontal="center"/>
    </xf>
    <xf numFmtId="0" fontId="3" fillId="0" borderId="13" xfId="1" applyFont="1" applyBorder="1" applyAlignment="1">
      <alignment horizontal="center"/>
    </xf>
    <xf numFmtId="0" fontId="3" fillId="0" borderId="9" xfId="1" applyFont="1" applyBorder="1" applyAlignment="1">
      <alignment horizontal="center"/>
    </xf>
    <xf numFmtId="0" fontId="3" fillId="0" borderId="11" xfId="1" applyFont="1" applyBorder="1" applyAlignment="1">
      <alignment horizontal="center"/>
    </xf>
    <xf numFmtId="0" fontId="3" fillId="0" borderId="69" xfId="1" applyFont="1" applyBorder="1" applyAlignment="1">
      <alignment horizontal="center" vertical="center"/>
    </xf>
    <xf numFmtId="0" fontId="3" fillId="0" borderId="50" xfId="1" applyFont="1" applyBorder="1" applyAlignment="1">
      <alignment horizontal="center" vertical="center"/>
    </xf>
    <xf numFmtId="0" fontId="3" fillId="0" borderId="71"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25" xfId="1" applyFont="1" applyBorder="1" applyAlignment="1">
      <alignment horizontal="center" vertical="center" wrapText="1"/>
    </xf>
    <xf numFmtId="0" fontId="3" fillId="0" borderId="46" xfId="1" applyFont="1" applyBorder="1" applyAlignment="1">
      <alignment horizontal="center" vertical="center" wrapText="1"/>
    </xf>
    <xf numFmtId="0" fontId="3" fillId="0" borderId="47" xfId="1" applyFont="1" applyBorder="1" applyAlignment="1">
      <alignment horizontal="center" vertical="center" wrapText="1"/>
    </xf>
    <xf numFmtId="0" fontId="3" fillId="0" borderId="5" xfId="1" applyFont="1" applyBorder="1" applyAlignment="1">
      <alignment horizontal="center"/>
    </xf>
    <xf numFmtId="0" fontId="3" fillId="0" borderId="15" xfId="1" applyFont="1" applyBorder="1" applyAlignment="1">
      <alignment horizontal="center"/>
    </xf>
    <xf numFmtId="0" fontId="3" fillId="0" borderId="12" xfId="1" applyFont="1" applyBorder="1" applyAlignment="1">
      <alignment horizontal="center"/>
    </xf>
    <xf numFmtId="168" fontId="3" fillId="0" borderId="24" xfId="1" applyNumberFormat="1" applyFont="1" applyBorder="1" applyAlignment="1">
      <alignment horizontal="center"/>
    </xf>
    <xf numFmtId="168" fontId="3" fillId="0" borderId="1" xfId="1" applyNumberFormat="1" applyFont="1" applyBorder="1" applyAlignment="1">
      <alignment horizontal="center"/>
    </xf>
    <xf numFmtId="168" fontId="3" fillId="0" borderId="14" xfId="1" applyNumberFormat="1" applyFont="1" applyBorder="1" applyAlignment="1">
      <alignment horizontal="center"/>
    </xf>
    <xf numFmtId="0" fontId="3" fillId="0" borderId="53" xfId="1" applyFont="1" applyBorder="1" applyAlignment="1">
      <alignment horizontal="center"/>
    </xf>
    <xf numFmtId="0" fontId="3" fillId="0" borderId="60" xfId="1" applyFont="1" applyBorder="1" applyAlignment="1">
      <alignment horizontal="center"/>
    </xf>
    <xf numFmtId="1" fontId="3" fillId="0" borderId="10" xfId="1" applyNumberFormat="1" applyFont="1" applyBorder="1" applyAlignment="1">
      <alignment horizontal="center"/>
    </xf>
    <xf numFmtId="1" fontId="3" fillId="0" borderId="11" xfId="1" applyNumberFormat="1" applyFont="1" applyBorder="1" applyAlignment="1">
      <alignment horizontal="center"/>
    </xf>
    <xf numFmtId="166" fontId="3" fillId="0" borderId="48" xfId="1" applyNumberFormat="1" applyFont="1" applyBorder="1" applyAlignment="1">
      <alignment horizontal="center"/>
    </xf>
    <xf numFmtId="166" fontId="3" fillId="5" borderId="48" xfId="1" applyNumberFormat="1" applyFont="1" applyFill="1" applyBorder="1" applyAlignment="1">
      <alignment horizontal="center"/>
    </xf>
    <xf numFmtId="167" fontId="3" fillId="5" borderId="25" xfId="1" applyNumberFormat="1" applyFont="1" applyFill="1" applyBorder="1" applyAlignment="1">
      <alignment horizontal="center"/>
    </xf>
    <xf numFmtId="167" fontId="3" fillId="5" borderId="46" xfId="1" applyNumberFormat="1" applyFont="1" applyFill="1" applyBorder="1" applyAlignment="1">
      <alignment horizontal="center"/>
    </xf>
    <xf numFmtId="167" fontId="3" fillId="5" borderId="47" xfId="1" applyNumberFormat="1" applyFont="1" applyFill="1" applyBorder="1" applyAlignment="1">
      <alignment horizontal="center"/>
    </xf>
    <xf numFmtId="0" fontId="3" fillId="0" borderId="26" xfId="1" applyFont="1" applyBorder="1" applyAlignment="1">
      <alignment horizontal="center"/>
    </xf>
    <xf numFmtId="0" fontId="3" fillId="0" borderId="27" xfId="1" applyFont="1" applyBorder="1" applyAlignment="1">
      <alignment horizontal="center"/>
    </xf>
    <xf numFmtId="0" fontId="3" fillId="0" borderId="28" xfId="1" applyFont="1" applyBorder="1" applyAlignment="1">
      <alignment horizontal="center"/>
    </xf>
    <xf numFmtId="0" fontId="3" fillId="0" borderId="42" xfId="1" applyFont="1" applyBorder="1" applyAlignment="1">
      <alignment horizontal="center" vertical="center" wrapText="1"/>
    </xf>
    <xf numFmtId="0" fontId="3" fillId="0" borderId="48" xfId="1" applyFont="1" applyBorder="1" applyAlignment="1">
      <alignment horizontal="center" vertical="center" wrapText="1"/>
    </xf>
    <xf numFmtId="0" fontId="3" fillId="0" borderId="70" xfId="1" applyFont="1" applyBorder="1" applyAlignment="1">
      <alignment horizontal="center"/>
    </xf>
    <xf numFmtId="0" fontId="3" fillId="0" borderId="48" xfId="0" applyFont="1" applyBorder="1" applyAlignment="1">
      <alignment horizontal="center"/>
    </xf>
    <xf numFmtId="0" fontId="3" fillId="0" borderId="45" xfId="1" applyFont="1" applyBorder="1" applyAlignment="1">
      <alignment horizontal="left"/>
    </xf>
    <xf numFmtId="0" fontId="3" fillId="0" borderId="25" xfId="1" applyFont="1" applyBorder="1" applyAlignment="1">
      <alignment horizontal="left"/>
    </xf>
    <xf numFmtId="0" fontId="3" fillId="0" borderId="58" xfId="0" applyFont="1" applyBorder="1" applyAlignment="1">
      <alignment horizontal="center"/>
    </xf>
    <xf numFmtId="0" fontId="3" fillId="0" borderId="31" xfId="1" applyFont="1" applyBorder="1" applyAlignment="1">
      <alignment horizontal="center"/>
    </xf>
    <xf numFmtId="0" fontId="3" fillId="0" borderId="32" xfId="1" applyFont="1" applyBorder="1" applyAlignment="1">
      <alignment horizontal="center"/>
    </xf>
    <xf numFmtId="0" fontId="3" fillId="0" borderId="33" xfId="1" applyFont="1" applyBorder="1" applyAlignment="1">
      <alignment horizontal="center"/>
    </xf>
    <xf numFmtId="0" fontId="3" fillId="0" borderId="38" xfId="1" applyFont="1" applyBorder="1" applyAlignment="1">
      <alignment horizontal="left"/>
    </xf>
    <xf numFmtId="0" fontId="3" fillId="0" borderId="5" xfId="1" applyFont="1" applyBorder="1" applyAlignment="1">
      <alignment horizontal="left"/>
    </xf>
    <xf numFmtId="0" fontId="3" fillId="0" borderId="6" xfId="1" applyFont="1" applyBorder="1" applyAlignment="1">
      <alignment horizontal="left"/>
    </xf>
    <xf numFmtId="0" fontId="3" fillId="0" borderId="39" xfId="1" applyFont="1" applyBorder="1" applyAlignment="1">
      <alignment horizontal="left"/>
    </xf>
    <xf numFmtId="0" fontId="3" fillId="0" borderId="0" xfId="1" applyFont="1" applyAlignment="1">
      <alignment horizontal="left"/>
    </xf>
    <xf numFmtId="0" fontId="3" fillId="0" borderId="4" xfId="1" applyFont="1" applyBorder="1" applyAlignment="1">
      <alignment horizontal="left"/>
    </xf>
    <xf numFmtId="0" fontId="3" fillId="0" borderId="3" xfId="1" applyFont="1" applyBorder="1" applyAlignment="1">
      <alignment horizontal="left"/>
    </xf>
    <xf numFmtId="0" fontId="3" fillId="0" borderId="1" xfId="1" applyFont="1" applyBorder="1" applyAlignment="1">
      <alignment horizontal="left"/>
    </xf>
    <xf numFmtId="0" fontId="3" fillId="0" borderId="2" xfId="1" applyFont="1" applyBorder="1" applyAlignment="1">
      <alignment horizontal="left"/>
    </xf>
    <xf numFmtId="0" fontId="3" fillId="0" borderId="7" xfId="1" applyFont="1" applyBorder="1" applyAlignment="1">
      <alignment horizontal="left"/>
    </xf>
    <xf numFmtId="0" fontId="3" fillId="0" borderId="8" xfId="1" applyFont="1" applyBorder="1" applyAlignment="1">
      <alignment horizontal="left"/>
    </xf>
    <xf numFmtId="0" fontId="8" fillId="0" borderId="0" xfId="0" applyFont="1" applyAlignment="1">
      <alignment horizontal="center" vertical="center"/>
    </xf>
    <xf numFmtId="0" fontId="8" fillId="0" borderId="10" xfId="0" applyFont="1" applyBorder="1" applyAlignment="1">
      <alignment horizontal="center" vertical="center"/>
    </xf>
    <xf numFmtId="0" fontId="3" fillId="0" borderId="50" xfId="1" applyFont="1" applyBorder="1" applyAlignment="1">
      <alignment horizontal="center"/>
    </xf>
    <xf numFmtId="0" fontId="3" fillId="0" borderId="51" xfId="1" applyFont="1" applyBorder="1" applyAlignment="1">
      <alignment horizontal="center"/>
    </xf>
    <xf numFmtId="0" fontId="3" fillId="0" borderId="52" xfId="1" applyFont="1" applyBorder="1" applyAlignment="1">
      <alignment horizontal="center"/>
    </xf>
    <xf numFmtId="0" fontId="10" fillId="0" borderId="47" xfId="1" applyFont="1" applyBorder="1" applyAlignment="1">
      <alignment horizontal="center"/>
    </xf>
    <xf numFmtId="0" fontId="10" fillId="0" borderId="25" xfId="1" applyFont="1" applyBorder="1" applyAlignment="1">
      <alignment horizontal="center"/>
    </xf>
    <xf numFmtId="0" fontId="10" fillId="0" borderId="48" xfId="1" applyFont="1" applyBorder="1" applyAlignment="1">
      <alignment horizontal="center"/>
    </xf>
    <xf numFmtId="0" fontId="3" fillId="0" borderId="53" xfId="0" applyFont="1" applyBorder="1" applyAlignment="1">
      <alignment horizontal="center"/>
    </xf>
    <xf numFmtId="0" fontId="3" fillId="0" borderId="54" xfId="0" applyFont="1" applyBorder="1" applyAlignment="1">
      <alignment horizontal="center"/>
    </xf>
    <xf numFmtId="2" fontId="3" fillId="0" borderId="66" xfId="1" applyNumberFormat="1" applyFont="1" applyBorder="1" applyAlignment="1">
      <alignment horizontal="center"/>
    </xf>
    <xf numFmtId="2" fontId="3" fillId="0" borderId="67" xfId="1" applyNumberFormat="1" applyFont="1" applyBorder="1" applyAlignment="1">
      <alignment horizontal="center"/>
    </xf>
    <xf numFmtId="2" fontId="3" fillId="0" borderId="68" xfId="1" applyNumberFormat="1" applyFont="1" applyBorder="1" applyAlignment="1">
      <alignment horizontal="center"/>
    </xf>
    <xf numFmtId="0" fontId="3" fillId="0" borderId="31" xfId="1" applyFont="1" applyBorder="1" applyAlignment="1">
      <alignment horizontal="left"/>
    </xf>
    <xf numFmtId="0" fontId="3" fillId="0" borderId="32" xfId="1" applyFont="1" applyBorder="1" applyAlignment="1">
      <alignment horizontal="left"/>
    </xf>
    <xf numFmtId="0" fontId="3" fillId="0" borderId="33" xfId="1" applyFont="1" applyBorder="1" applyAlignment="1">
      <alignment horizontal="left"/>
    </xf>
    <xf numFmtId="0" fontId="3" fillId="0" borderId="37" xfId="1" applyFont="1" applyBorder="1" applyAlignment="1">
      <alignment horizontal="center"/>
    </xf>
    <xf numFmtId="0" fontId="3" fillId="0" borderId="64" xfId="1" applyFont="1" applyBorder="1" applyAlignment="1">
      <alignment horizontal="left"/>
    </xf>
    <xf numFmtId="2" fontId="3" fillId="3" borderId="47" xfId="1" applyNumberFormat="1" applyFont="1" applyFill="1" applyBorder="1" applyAlignment="1">
      <alignment horizontal="center"/>
    </xf>
    <xf numFmtId="0" fontId="3" fillId="3" borderId="25" xfId="1" applyFont="1" applyFill="1" applyBorder="1" applyAlignment="1">
      <alignment horizontal="center"/>
    </xf>
    <xf numFmtId="0" fontId="3" fillId="3" borderId="48" xfId="1" applyFont="1" applyFill="1" applyBorder="1" applyAlignment="1">
      <alignment horizontal="center"/>
    </xf>
    <xf numFmtId="0" fontId="3" fillId="3" borderId="47" xfId="1" applyFont="1" applyFill="1" applyBorder="1" applyAlignment="1">
      <alignment horizontal="center"/>
    </xf>
    <xf numFmtId="0" fontId="3" fillId="3" borderId="46" xfId="1" applyFont="1" applyFill="1" applyBorder="1" applyAlignment="1">
      <alignment horizontal="center"/>
    </xf>
    <xf numFmtId="0" fontId="3" fillId="0" borderId="39" xfId="1" applyFont="1" applyBorder="1" applyAlignment="1">
      <alignment horizontal="center"/>
    </xf>
    <xf numFmtId="0" fontId="3" fillId="0" borderId="16" xfId="1" applyFont="1" applyBorder="1" applyAlignment="1">
      <alignment horizontal="center"/>
    </xf>
    <xf numFmtId="2" fontId="3" fillId="3" borderId="25" xfId="1" applyNumberFormat="1" applyFont="1" applyFill="1" applyBorder="1" applyAlignment="1">
      <alignment horizontal="center"/>
    </xf>
    <xf numFmtId="2" fontId="3" fillId="3" borderId="46" xfId="1" applyNumberFormat="1" applyFont="1" applyFill="1" applyBorder="1" applyAlignment="1">
      <alignment horizontal="center"/>
    </xf>
    <xf numFmtId="0" fontId="3" fillId="0" borderId="59" xfId="1" applyFont="1" applyBorder="1" applyAlignment="1">
      <alignment horizontal="center"/>
    </xf>
    <xf numFmtId="0" fontId="3" fillId="0" borderId="61" xfId="1" applyFont="1" applyBorder="1" applyAlignment="1">
      <alignment horizontal="center"/>
    </xf>
    <xf numFmtId="165" fontId="3" fillId="0" borderId="47" xfId="1" applyNumberFormat="1" applyFont="1" applyBorder="1" applyAlignment="1">
      <alignment horizontal="center"/>
    </xf>
    <xf numFmtId="165" fontId="3" fillId="0" borderId="25" xfId="1" applyNumberFormat="1" applyFont="1" applyBorder="1" applyAlignment="1">
      <alignment horizontal="center"/>
    </xf>
    <xf numFmtId="165" fontId="3" fillId="0" borderId="46" xfId="1" applyNumberFormat="1" applyFont="1" applyBorder="1" applyAlignment="1">
      <alignment horizontal="center"/>
    </xf>
    <xf numFmtId="0" fontId="3" fillId="4" borderId="47" xfId="1" applyFont="1" applyFill="1" applyBorder="1" applyAlignment="1">
      <alignment horizontal="center"/>
    </xf>
    <xf numFmtId="0" fontId="3" fillId="4" borderId="25" xfId="1" applyFont="1" applyFill="1" applyBorder="1" applyAlignment="1">
      <alignment horizontal="center"/>
    </xf>
    <xf numFmtId="0" fontId="3" fillId="4" borderId="46" xfId="1" applyFont="1" applyFill="1" applyBorder="1" applyAlignment="1">
      <alignment horizontal="center"/>
    </xf>
    <xf numFmtId="2" fontId="3" fillId="4" borderId="47" xfId="1" applyNumberFormat="1" applyFont="1" applyFill="1" applyBorder="1" applyAlignment="1">
      <alignment horizontal="center"/>
    </xf>
    <xf numFmtId="2" fontId="3" fillId="4" borderId="25" xfId="1" applyNumberFormat="1" applyFont="1" applyFill="1" applyBorder="1" applyAlignment="1">
      <alignment horizontal="center"/>
    </xf>
    <xf numFmtId="2" fontId="3" fillId="4" borderId="46" xfId="1" applyNumberFormat="1" applyFont="1" applyFill="1" applyBorder="1" applyAlignment="1">
      <alignment horizontal="center"/>
    </xf>
    <xf numFmtId="0" fontId="3" fillId="4" borderId="48" xfId="1" applyFont="1" applyFill="1" applyBorder="1" applyAlignment="1">
      <alignment horizontal="center"/>
    </xf>
    <xf numFmtId="0" fontId="3" fillId="2" borderId="47" xfId="1" applyFont="1" applyFill="1" applyBorder="1" applyAlignment="1">
      <alignment horizontal="center"/>
    </xf>
    <xf numFmtId="0" fontId="3" fillId="2" borderId="25" xfId="1" applyFont="1" applyFill="1" applyBorder="1" applyAlignment="1">
      <alignment horizontal="center"/>
    </xf>
    <xf numFmtId="0" fontId="3" fillId="2" borderId="46" xfId="1" applyFont="1" applyFill="1" applyBorder="1" applyAlignment="1">
      <alignment horizontal="center"/>
    </xf>
    <xf numFmtId="0" fontId="3" fillId="2" borderId="48" xfId="1" applyFont="1" applyFill="1" applyBorder="1" applyAlignment="1">
      <alignment horizontal="center"/>
    </xf>
  </cellXfs>
  <cellStyles count="4">
    <cellStyle name="Comma 2" xfId="3" xr:uid="{DC49E171-0BD5-42FC-BFFD-8643E2AB7267}"/>
    <cellStyle name="Hyperlink" xfId="2" builtinId="8"/>
    <cellStyle name="Normal" xfId="0" builtinId="0"/>
    <cellStyle name="Normal 2" xfId="1" xr:uid="{00000000-0005-0000-0000-000001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tmp"/><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oneCellAnchor>
    <xdr:from>
      <xdr:col>92</xdr:col>
      <xdr:colOff>66674</xdr:colOff>
      <xdr:row>1</xdr:row>
      <xdr:rowOff>200024</xdr:rowOff>
    </xdr:from>
    <xdr:ext cx="1579245" cy="676275"/>
    <xdr:pic>
      <xdr:nvPicPr>
        <xdr:cNvPr id="2" name="Picture 1" descr="http://workspace.nottingham.ac.uk/download/attachments/75730794/UoN-UK-C-M.Black.jpg?version=1&amp;modificationDate=1284112869000">
          <a:extLst>
            <a:ext uri="{FF2B5EF4-FFF2-40B4-BE49-F238E27FC236}">
              <a16:creationId xmlns:a16="http://schemas.microsoft.com/office/drawing/2014/main" id="{6444F83D-9E59-7E4B-B006-603982080E5E}"/>
            </a:ext>
          </a:extLst>
        </xdr:cNvPr>
        <xdr:cNvPicPr/>
      </xdr:nvPicPr>
      <xdr:blipFill>
        <a:blip xmlns:r="http://schemas.openxmlformats.org/officeDocument/2006/relationships" r:embed="rId1" cstate="print"/>
        <a:srcRect/>
        <a:stretch>
          <a:fillRect/>
        </a:stretch>
      </xdr:blipFill>
      <xdr:spPr bwMode="auto">
        <a:xfrm>
          <a:off x="11953874" y="314324"/>
          <a:ext cx="1579245" cy="676275"/>
        </a:xfrm>
        <a:prstGeom prst="rect">
          <a:avLst/>
        </a:prstGeom>
        <a:noFill/>
        <a:ln w="9525">
          <a:noFill/>
          <a:miter lim="800000"/>
          <a:headEnd/>
          <a:tailEnd/>
        </a:ln>
      </xdr:spPr>
    </xdr:pic>
    <xdr:clientData/>
  </xdr:oneCellAnchor>
  <xdr:twoCellAnchor>
    <xdr:from>
      <xdr:col>71</xdr:col>
      <xdr:colOff>171450</xdr:colOff>
      <xdr:row>53</xdr:row>
      <xdr:rowOff>0</xdr:rowOff>
    </xdr:from>
    <xdr:to>
      <xdr:col>116</xdr:col>
      <xdr:colOff>9525</xdr:colOff>
      <xdr:row>56</xdr:row>
      <xdr:rowOff>152400</xdr:rowOff>
    </xdr:to>
    <xdr:cxnSp macro="">
      <xdr:nvCxnSpPr>
        <xdr:cNvPr id="3" name="Straight Connector 2">
          <a:extLst>
            <a:ext uri="{FF2B5EF4-FFF2-40B4-BE49-F238E27FC236}">
              <a16:creationId xmlns:a16="http://schemas.microsoft.com/office/drawing/2014/main" id="{96BABAB0-2062-1543-8AE9-B2CF093B276B}"/>
            </a:ext>
          </a:extLst>
        </xdr:cNvPr>
        <xdr:cNvCxnSpPr/>
      </xdr:nvCxnSpPr>
      <xdr:spPr bwMode="auto">
        <a:xfrm flipV="1">
          <a:off x="9340850" y="10261600"/>
          <a:ext cx="5603875" cy="64770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84</xdr:col>
      <xdr:colOff>19050</xdr:colOff>
      <xdr:row>54</xdr:row>
      <xdr:rowOff>38100</xdr:rowOff>
    </xdr:from>
    <xdr:to>
      <xdr:col>103</xdr:col>
      <xdr:colOff>19050</xdr:colOff>
      <xdr:row>55</xdr:row>
      <xdr:rowOff>123825</xdr:rowOff>
    </xdr:to>
    <xdr:sp macro="" textlink="">
      <xdr:nvSpPr>
        <xdr:cNvPr id="4" name="TextBox 3">
          <a:extLst>
            <a:ext uri="{FF2B5EF4-FFF2-40B4-BE49-F238E27FC236}">
              <a16:creationId xmlns:a16="http://schemas.microsoft.com/office/drawing/2014/main" id="{D0497320-A85E-1940-A025-A9B193FE3A7D}"/>
            </a:ext>
          </a:extLst>
        </xdr:cNvPr>
        <xdr:cNvSpPr txBox="1"/>
      </xdr:nvSpPr>
      <xdr:spPr>
        <a:xfrm>
          <a:off x="10890250" y="10464800"/>
          <a:ext cx="2413000" cy="250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SEE PAGE 1</a:t>
          </a:r>
        </a:p>
      </xdr:txBody>
    </xdr:sp>
    <xdr:clientData/>
  </xdr:twoCellAnchor>
  <xdr:twoCellAnchor>
    <xdr:from>
      <xdr:col>4</xdr:col>
      <xdr:colOff>92205</xdr:colOff>
      <xdr:row>52</xdr:row>
      <xdr:rowOff>86685</xdr:rowOff>
    </xdr:from>
    <xdr:to>
      <xdr:col>76</xdr:col>
      <xdr:colOff>41875</xdr:colOff>
      <xdr:row>57</xdr:row>
      <xdr:rowOff>25413</xdr:rowOff>
    </xdr:to>
    <xdr:sp macro="" textlink="">
      <xdr:nvSpPr>
        <xdr:cNvPr id="5" name="TextBox 1">
          <a:extLst>
            <a:ext uri="{FF2B5EF4-FFF2-40B4-BE49-F238E27FC236}">
              <a16:creationId xmlns:a16="http://schemas.microsoft.com/office/drawing/2014/main" id="{865D20E0-D00E-7D48-AE65-25C4C5103EBB}"/>
            </a:ext>
            <a:ext uri="{147F2762-F138-4A5C-976F-8EAC2B608ADB}">
              <a16:predDERef xmlns:a16="http://schemas.microsoft.com/office/drawing/2014/main" pred="{00000000-0008-0000-0100-000016000000}"/>
            </a:ext>
          </a:extLst>
        </xdr:cNvPr>
        <xdr:cNvSpPr txBox="1"/>
      </xdr:nvSpPr>
      <xdr:spPr>
        <a:xfrm>
          <a:off x="778005" y="10183185"/>
          <a:ext cx="9119070" cy="764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650">
              <a:latin typeface="Arial" panose="020B0604020202020204" pitchFamily="34" charset="0"/>
              <a:cs typeface="Arial" panose="020B0604020202020204" pitchFamily="34" charset="0"/>
            </a:rPr>
            <a:t>Notes:</a:t>
          </a:r>
        </a:p>
        <a:p>
          <a:endParaRPr lang="en-GB" sz="65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171450</xdr:colOff>
      <xdr:row>61</xdr:row>
      <xdr:rowOff>0</xdr:rowOff>
    </xdr:from>
    <xdr:to>
      <xdr:col>46</xdr:col>
      <xdr:colOff>9525</xdr:colOff>
      <xdr:row>64</xdr:row>
      <xdr:rowOff>152400</xdr:rowOff>
    </xdr:to>
    <xdr:cxnSp macro="">
      <xdr:nvCxnSpPr>
        <xdr:cNvPr id="2" name="Straight Connector 1">
          <a:extLst>
            <a:ext uri="{FF2B5EF4-FFF2-40B4-BE49-F238E27FC236}">
              <a16:creationId xmlns:a16="http://schemas.microsoft.com/office/drawing/2014/main" id="{4A3F2851-0B5A-455A-81EB-40EF0CD1BB4D}"/>
            </a:ext>
          </a:extLst>
        </xdr:cNvPr>
        <xdr:cNvCxnSpPr/>
      </xdr:nvCxnSpPr>
      <xdr:spPr bwMode="auto">
        <a:xfrm flipV="1">
          <a:off x="361950" y="9544050"/>
          <a:ext cx="4778375" cy="62865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19050</xdr:colOff>
      <xdr:row>62</xdr:row>
      <xdr:rowOff>38100</xdr:rowOff>
    </xdr:from>
    <xdr:to>
      <xdr:col>33</xdr:col>
      <xdr:colOff>19050</xdr:colOff>
      <xdr:row>63</xdr:row>
      <xdr:rowOff>123825</xdr:rowOff>
    </xdr:to>
    <xdr:sp macro="" textlink="">
      <xdr:nvSpPr>
        <xdr:cNvPr id="3" name="TextBox 2">
          <a:extLst>
            <a:ext uri="{FF2B5EF4-FFF2-40B4-BE49-F238E27FC236}">
              <a16:creationId xmlns:a16="http://schemas.microsoft.com/office/drawing/2014/main" id="{A14E71B3-A91B-4593-BB01-6633A1EA5568}"/>
            </a:ext>
          </a:extLst>
        </xdr:cNvPr>
        <xdr:cNvSpPr txBox="1"/>
      </xdr:nvSpPr>
      <xdr:spPr>
        <a:xfrm>
          <a:off x="1695450" y="9740900"/>
          <a:ext cx="2051050" cy="24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SEE PAGE 1</a:t>
          </a:r>
        </a:p>
      </xdr:txBody>
    </xdr:sp>
    <xdr:clientData/>
  </xdr:twoCellAnchor>
  <xdr:twoCellAnchor>
    <xdr:from>
      <xdr:col>1</xdr:col>
      <xdr:colOff>171450</xdr:colOff>
      <xdr:row>61</xdr:row>
      <xdr:rowOff>0</xdr:rowOff>
    </xdr:from>
    <xdr:to>
      <xdr:col>46</xdr:col>
      <xdr:colOff>9525</xdr:colOff>
      <xdr:row>64</xdr:row>
      <xdr:rowOff>152400</xdr:rowOff>
    </xdr:to>
    <xdr:cxnSp macro="">
      <xdr:nvCxnSpPr>
        <xdr:cNvPr id="4" name="Straight Connector 3">
          <a:extLst>
            <a:ext uri="{FF2B5EF4-FFF2-40B4-BE49-F238E27FC236}">
              <a16:creationId xmlns:a16="http://schemas.microsoft.com/office/drawing/2014/main" id="{AE0748C1-826A-42EE-9E70-97C2BED306E7}"/>
            </a:ext>
          </a:extLst>
        </xdr:cNvPr>
        <xdr:cNvCxnSpPr/>
      </xdr:nvCxnSpPr>
      <xdr:spPr bwMode="auto">
        <a:xfrm flipV="1">
          <a:off x="361950" y="9544050"/>
          <a:ext cx="4778375" cy="62865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19050</xdr:colOff>
      <xdr:row>62</xdr:row>
      <xdr:rowOff>38100</xdr:rowOff>
    </xdr:from>
    <xdr:to>
      <xdr:col>33</xdr:col>
      <xdr:colOff>19050</xdr:colOff>
      <xdr:row>63</xdr:row>
      <xdr:rowOff>123825</xdr:rowOff>
    </xdr:to>
    <xdr:sp macro="" textlink="">
      <xdr:nvSpPr>
        <xdr:cNvPr id="5" name="TextBox 4">
          <a:extLst>
            <a:ext uri="{FF2B5EF4-FFF2-40B4-BE49-F238E27FC236}">
              <a16:creationId xmlns:a16="http://schemas.microsoft.com/office/drawing/2014/main" id="{9BCBF410-27AE-4BEB-AF22-C922B0D232C3}"/>
            </a:ext>
          </a:extLst>
        </xdr:cNvPr>
        <xdr:cNvSpPr txBox="1"/>
      </xdr:nvSpPr>
      <xdr:spPr>
        <a:xfrm>
          <a:off x="1695450" y="9740900"/>
          <a:ext cx="2051050" cy="24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SEE PAGE 1</a:t>
          </a:r>
        </a:p>
      </xdr:txBody>
    </xdr:sp>
    <xdr:clientData/>
  </xdr:twoCellAnchor>
  <xdr:twoCellAnchor editAs="oneCell">
    <xdr:from>
      <xdr:col>22</xdr:col>
      <xdr:colOff>57150</xdr:colOff>
      <xdr:row>2</xdr:row>
      <xdr:rowOff>0</xdr:rowOff>
    </xdr:from>
    <xdr:to>
      <xdr:col>22</xdr:col>
      <xdr:colOff>102870</xdr:colOff>
      <xdr:row>6</xdr:row>
      <xdr:rowOff>28575</xdr:rowOff>
    </xdr:to>
    <xdr:pic>
      <xdr:nvPicPr>
        <xdr:cNvPr id="6" name="Picture 5" descr="http://workspace.nottingham.ac.uk/download/attachments/75730794/UoN-UK-C-M.Black.jpg?version=1&amp;modificationDate=1284112869000">
          <a:extLst>
            <a:ext uri="{FF2B5EF4-FFF2-40B4-BE49-F238E27FC236}">
              <a16:creationId xmlns:a16="http://schemas.microsoft.com/office/drawing/2014/main" id="{575859B2-49A0-4DEB-A2B3-9DD5A660BEAD}"/>
            </a:ext>
          </a:extLst>
        </xdr:cNvPr>
        <xdr:cNvPicPr/>
      </xdr:nvPicPr>
      <xdr:blipFill>
        <a:blip xmlns:r="http://schemas.openxmlformats.org/officeDocument/2006/relationships" r:embed="rId1" cstate="print"/>
        <a:srcRect/>
        <a:stretch>
          <a:fillRect/>
        </a:stretch>
      </xdr:blipFill>
      <xdr:spPr bwMode="auto">
        <a:xfrm>
          <a:off x="2597150" y="317500"/>
          <a:ext cx="45720" cy="663575"/>
        </a:xfrm>
        <a:prstGeom prst="rect">
          <a:avLst/>
        </a:prstGeom>
        <a:noFill/>
        <a:ln w="9525">
          <a:noFill/>
          <a:miter lim="800000"/>
          <a:headEnd/>
          <a:tailEnd/>
        </a:ln>
      </xdr:spPr>
    </xdr:pic>
    <xdr:clientData/>
  </xdr:twoCellAnchor>
  <xdr:twoCellAnchor editAs="oneCell">
    <xdr:from>
      <xdr:col>22</xdr:col>
      <xdr:colOff>66674</xdr:colOff>
      <xdr:row>1</xdr:row>
      <xdr:rowOff>161924</xdr:rowOff>
    </xdr:from>
    <xdr:to>
      <xdr:col>37</xdr:col>
      <xdr:colOff>66675</xdr:colOff>
      <xdr:row>6</xdr:row>
      <xdr:rowOff>28574</xdr:rowOff>
    </xdr:to>
    <xdr:pic>
      <xdr:nvPicPr>
        <xdr:cNvPr id="7" name="Picture 6" descr="http://workspace.nottingham.ac.uk/download/attachments/75730794/UoN-UK-C-M.Black.jpg?version=1&amp;modificationDate=1284112869000">
          <a:extLst>
            <a:ext uri="{FF2B5EF4-FFF2-40B4-BE49-F238E27FC236}">
              <a16:creationId xmlns:a16="http://schemas.microsoft.com/office/drawing/2014/main" id="{6B5B2951-B23B-4513-BEB5-7C07E3746A17}"/>
            </a:ext>
          </a:extLst>
        </xdr:cNvPr>
        <xdr:cNvPicPr/>
      </xdr:nvPicPr>
      <xdr:blipFill>
        <a:blip xmlns:r="http://schemas.openxmlformats.org/officeDocument/2006/relationships" r:embed="rId1" cstate="print"/>
        <a:srcRect/>
        <a:stretch>
          <a:fillRect/>
        </a:stretch>
      </xdr:blipFill>
      <xdr:spPr bwMode="auto">
        <a:xfrm>
          <a:off x="2606674" y="320674"/>
          <a:ext cx="1619251" cy="660400"/>
        </a:xfrm>
        <a:prstGeom prst="rect">
          <a:avLst/>
        </a:prstGeom>
        <a:noFill/>
        <a:ln w="9525">
          <a:noFill/>
          <a:miter lim="800000"/>
          <a:headEnd/>
          <a:tailEnd/>
        </a:ln>
      </xdr:spPr>
    </xdr:pic>
    <xdr:clientData/>
  </xdr:twoCellAnchor>
  <xdr:twoCellAnchor>
    <xdr:from>
      <xdr:col>1</xdr:col>
      <xdr:colOff>171450</xdr:colOff>
      <xdr:row>61</xdr:row>
      <xdr:rowOff>0</xdr:rowOff>
    </xdr:from>
    <xdr:to>
      <xdr:col>46</xdr:col>
      <xdr:colOff>9525</xdr:colOff>
      <xdr:row>64</xdr:row>
      <xdr:rowOff>152400</xdr:rowOff>
    </xdr:to>
    <xdr:cxnSp macro="">
      <xdr:nvCxnSpPr>
        <xdr:cNvPr id="8" name="Straight Connector 7">
          <a:extLst>
            <a:ext uri="{FF2B5EF4-FFF2-40B4-BE49-F238E27FC236}">
              <a16:creationId xmlns:a16="http://schemas.microsoft.com/office/drawing/2014/main" id="{CE854510-7217-400D-BC7A-1FDAE3ABBF6B}"/>
            </a:ext>
          </a:extLst>
        </xdr:cNvPr>
        <xdr:cNvCxnSpPr/>
      </xdr:nvCxnSpPr>
      <xdr:spPr bwMode="auto">
        <a:xfrm flipV="1">
          <a:off x="361950" y="9544050"/>
          <a:ext cx="4778375" cy="62865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19050</xdr:colOff>
      <xdr:row>62</xdr:row>
      <xdr:rowOff>38100</xdr:rowOff>
    </xdr:from>
    <xdr:to>
      <xdr:col>33</xdr:col>
      <xdr:colOff>19050</xdr:colOff>
      <xdr:row>63</xdr:row>
      <xdr:rowOff>123825</xdr:rowOff>
    </xdr:to>
    <xdr:sp macro="" textlink="">
      <xdr:nvSpPr>
        <xdr:cNvPr id="9" name="TextBox 8">
          <a:extLst>
            <a:ext uri="{FF2B5EF4-FFF2-40B4-BE49-F238E27FC236}">
              <a16:creationId xmlns:a16="http://schemas.microsoft.com/office/drawing/2014/main" id="{7999382B-539F-448B-8131-B83E7882E27B}"/>
            </a:ext>
          </a:extLst>
        </xdr:cNvPr>
        <xdr:cNvSpPr txBox="1"/>
      </xdr:nvSpPr>
      <xdr:spPr>
        <a:xfrm>
          <a:off x="1695450" y="9740900"/>
          <a:ext cx="2051050" cy="24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SEE PAGE 1</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92</xdr:col>
      <xdr:colOff>66674</xdr:colOff>
      <xdr:row>1</xdr:row>
      <xdr:rowOff>200024</xdr:rowOff>
    </xdr:from>
    <xdr:ext cx="1579245" cy="676275"/>
    <xdr:pic>
      <xdr:nvPicPr>
        <xdr:cNvPr id="2" name="Picture 1" descr="http://workspace.nottingham.ac.uk/download/attachments/75730794/UoN-UK-C-M.Black.jpg?version=1&amp;modificationDate=1284112869000">
          <a:extLst>
            <a:ext uri="{FF2B5EF4-FFF2-40B4-BE49-F238E27FC236}">
              <a16:creationId xmlns:a16="http://schemas.microsoft.com/office/drawing/2014/main" id="{4C3AADE8-0DA6-4383-B499-8521AC725385}"/>
            </a:ext>
          </a:extLst>
        </xdr:cNvPr>
        <xdr:cNvPicPr/>
      </xdr:nvPicPr>
      <xdr:blipFill>
        <a:blip xmlns:r="http://schemas.openxmlformats.org/officeDocument/2006/relationships" r:embed="rId1" cstate="print"/>
        <a:srcRect/>
        <a:stretch>
          <a:fillRect/>
        </a:stretch>
      </xdr:blipFill>
      <xdr:spPr bwMode="auto">
        <a:xfrm>
          <a:off x="10348912" y="323849"/>
          <a:ext cx="1579245" cy="676275"/>
        </a:xfrm>
        <a:prstGeom prst="rect">
          <a:avLst/>
        </a:prstGeom>
        <a:noFill/>
        <a:ln w="9525">
          <a:noFill/>
          <a:miter lim="800000"/>
          <a:headEnd/>
          <a:tailEnd/>
        </a:ln>
      </xdr:spPr>
    </xdr:pic>
    <xdr:clientData/>
  </xdr:oneCellAnchor>
  <xdr:twoCellAnchor>
    <xdr:from>
      <xdr:col>71</xdr:col>
      <xdr:colOff>171450</xdr:colOff>
      <xdr:row>61</xdr:row>
      <xdr:rowOff>0</xdr:rowOff>
    </xdr:from>
    <xdr:to>
      <xdr:col>116</xdr:col>
      <xdr:colOff>9525</xdr:colOff>
      <xdr:row>64</xdr:row>
      <xdr:rowOff>152400</xdr:rowOff>
    </xdr:to>
    <xdr:cxnSp macro="">
      <xdr:nvCxnSpPr>
        <xdr:cNvPr id="3" name="Straight Connector 2">
          <a:extLst>
            <a:ext uri="{FF2B5EF4-FFF2-40B4-BE49-F238E27FC236}">
              <a16:creationId xmlns:a16="http://schemas.microsoft.com/office/drawing/2014/main" id="{D3C981EC-8E27-4145-86AD-F55381DB4AE9}"/>
            </a:ext>
          </a:extLst>
        </xdr:cNvPr>
        <xdr:cNvCxnSpPr/>
      </xdr:nvCxnSpPr>
      <xdr:spPr bwMode="auto">
        <a:xfrm flipV="1">
          <a:off x="8091488" y="9877425"/>
          <a:ext cx="4829175" cy="638175"/>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84</xdr:col>
      <xdr:colOff>19050</xdr:colOff>
      <xdr:row>62</xdr:row>
      <xdr:rowOff>38100</xdr:rowOff>
    </xdr:from>
    <xdr:to>
      <xdr:col>103</xdr:col>
      <xdr:colOff>19050</xdr:colOff>
      <xdr:row>63</xdr:row>
      <xdr:rowOff>123825</xdr:rowOff>
    </xdr:to>
    <xdr:sp macro="" textlink="">
      <xdr:nvSpPr>
        <xdr:cNvPr id="4" name="TextBox 3">
          <a:extLst>
            <a:ext uri="{FF2B5EF4-FFF2-40B4-BE49-F238E27FC236}">
              <a16:creationId xmlns:a16="http://schemas.microsoft.com/office/drawing/2014/main" id="{845CD40A-2620-46A4-9FCA-377AA7DE6845}"/>
            </a:ext>
          </a:extLst>
        </xdr:cNvPr>
        <xdr:cNvSpPr txBox="1"/>
      </xdr:nvSpPr>
      <xdr:spPr>
        <a:xfrm>
          <a:off x="9424988" y="10077450"/>
          <a:ext cx="2081212"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SEE PAGE 1</a:t>
          </a:r>
        </a:p>
      </xdr:txBody>
    </xdr:sp>
    <xdr:clientData/>
  </xdr:twoCellAnchor>
  <xdr:twoCellAnchor>
    <xdr:from>
      <xdr:col>1</xdr:col>
      <xdr:colOff>23309</xdr:colOff>
      <xdr:row>48</xdr:row>
      <xdr:rowOff>6722</xdr:rowOff>
    </xdr:from>
    <xdr:to>
      <xdr:col>73</xdr:col>
      <xdr:colOff>68034</xdr:colOff>
      <xdr:row>59</xdr:row>
      <xdr:rowOff>147412</xdr:rowOff>
    </xdr:to>
    <xdr:sp macro="" textlink="">
      <xdr:nvSpPr>
        <xdr:cNvPr id="16" name="TextBox 4">
          <a:extLst>
            <a:ext uri="{FF2B5EF4-FFF2-40B4-BE49-F238E27FC236}">
              <a16:creationId xmlns:a16="http://schemas.microsoft.com/office/drawing/2014/main" id="{E19D5915-3B48-46D4-BDAB-FB6FF1EF6780}"/>
            </a:ext>
          </a:extLst>
        </xdr:cNvPr>
        <xdr:cNvSpPr txBox="1"/>
      </xdr:nvSpPr>
      <xdr:spPr>
        <a:xfrm>
          <a:off x="218572" y="7779122"/>
          <a:ext cx="8050487" cy="192186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650">
              <a:latin typeface="Arial" panose="020B0604020202020204" pitchFamily="34" charset="0"/>
              <a:cs typeface="Arial" panose="020B0604020202020204" pitchFamily="34" charset="0"/>
            </a:rPr>
            <a:t>References:</a:t>
          </a:r>
        </a:p>
        <a:p>
          <a:endParaRPr lang="en-GB" sz="650" b="0" i="0">
            <a:solidFill>
              <a:schemeClr val="dk1"/>
            </a:solidFill>
            <a:effectLst/>
            <a:latin typeface="Arial" panose="020B0604020202020204" pitchFamily="34" charset="0"/>
            <a:ea typeface="+mn-ea"/>
            <a:cs typeface="Arial" panose="020B0604020202020204" pitchFamily="34" charset="0"/>
          </a:endParaRPr>
        </a:p>
        <a:p>
          <a:r>
            <a:rPr lang="en-GB" sz="650" b="0" i="0">
              <a:solidFill>
                <a:schemeClr val="dk1"/>
              </a:solidFill>
              <a:effectLst/>
              <a:latin typeface="Arial" panose="020B0604020202020204" pitchFamily="34" charset="0"/>
              <a:ea typeface="+mn-ea"/>
              <a:cs typeface="Arial" panose="020B0604020202020204" pitchFamily="34" charset="0"/>
            </a:rPr>
            <a:t>1)</a:t>
          </a:r>
          <a:r>
            <a:rPr lang="en-GB" sz="650" b="0" i="0" baseline="0">
              <a:solidFill>
                <a:schemeClr val="dk1"/>
              </a:solidFill>
              <a:effectLst/>
              <a:latin typeface="Arial" panose="020B0604020202020204" pitchFamily="34" charset="0"/>
              <a:ea typeface="+mn-ea"/>
              <a:cs typeface="Arial" panose="020B0604020202020204" pitchFamily="34" charset="0"/>
            </a:rPr>
            <a:t> Equation for starch conversion to maltose: </a:t>
          </a:r>
          <a:r>
            <a:rPr lang="en-GB" sz="800">
              <a:hlinkClick xmlns:r="http://schemas.openxmlformats.org/officeDocument/2006/relationships" r:id=""/>
            </a:rPr>
            <a:t>Starch converts into maltose by the catalytic action of the enzyme: (toppr.com)</a:t>
          </a:r>
          <a:endParaRPr lang="en-GB" sz="800"/>
        </a:p>
        <a:p>
          <a:endParaRPr lang="en-GB" sz="800" b="0" i="0">
            <a:solidFill>
              <a:schemeClr val="dk1"/>
            </a:solidFill>
            <a:effectLst/>
            <a:latin typeface="Arial" panose="020B0604020202020204" pitchFamily="34" charset="0"/>
            <a:ea typeface="+mn-ea"/>
            <a:cs typeface="Arial" panose="020B0604020202020204" pitchFamily="34" charset="0"/>
          </a:endParaRPr>
        </a:p>
        <a:p>
          <a:r>
            <a:rPr lang="en-GB" sz="800" b="0" i="0">
              <a:solidFill>
                <a:schemeClr val="dk1"/>
              </a:solidFill>
              <a:effectLst/>
              <a:latin typeface="Arial" panose="020B0604020202020204" pitchFamily="34" charset="0"/>
              <a:ea typeface="+mn-ea"/>
              <a:cs typeface="Arial" panose="020B0604020202020204" pitchFamily="34" charset="0"/>
            </a:rPr>
            <a:t>2) 'Amylase, thermostable from </a:t>
          </a:r>
          <a:r>
            <a:rPr lang="en-GB" sz="800" b="0" i="1">
              <a:solidFill>
                <a:schemeClr val="dk1"/>
              </a:solidFill>
              <a:effectLst/>
              <a:latin typeface="Arial" panose="020B0604020202020204" pitchFamily="34" charset="0"/>
              <a:ea typeface="+mn-ea"/>
              <a:cs typeface="Arial" panose="020B0604020202020204" pitchFamily="34" charset="0"/>
            </a:rPr>
            <a:t>Bacillus</a:t>
          </a:r>
          <a:r>
            <a:rPr lang="en-GB" sz="800" b="0" i="0">
              <a:solidFill>
                <a:schemeClr val="dk1"/>
              </a:solidFill>
              <a:effectLst/>
              <a:latin typeface="Arial" panose="020B0604020202020204" pitchFamily="34" charset="0"/>
              <a:ea typeface="+mn-ea"/>
              <a:cs typeface="Arial" panose="020B0604020202020204" pitchFamily="34" charset="0"/>
            </a:rPr>
            <a:t>'</a:t>
          </a:r>
          <a:r>
            <a:rPr lang="en-GB" sz="800" b="0" i="0" baseline="0">
              <a:solidFill>
                <a:schemeClr val="dk1"/>
              </a:solidFill>
              <a:effectLst/>
              <a:latin typeface="Arial" panose="020B0604020202020204" pitchFamily="34" charset="0"/>
              <a:ea typeface="+mn-ea"/>
              <a:cs typeface="Arial" panose="020B0604020202020204" pitchFamily="34" charset="0"/>
            </a:rPr>
            <a:t> selected as choice of </a:t>
          </a:r>
          <a:r>
            <a:rPr lang="el-GR" sz="800" b="0" i="0" baseline="0">
              <a:solidFill>
                <a:schemeClr val="dk1"/>
              </a:solidFill>
              <a:effectLst/>
              <a:latin typeface="Arial" panose="020B0604020202020204" pitchFamily="34" charset="0"/>
              <a:ea typeface="+mn-ea"/>
              <a:cs typeface="Arial" panose="020B0604020202020204" pitchFamily="34" charset="0"/>
            </a:rPr>
            <a:t>α-</a:t>
          </a:r>
          <a:r>
            <a:rPr lang="en-GB" sz="800" b="0" i="0" baseline="0">
              <a:solidFill>
                <a:schemeClr val="dk1"/>
              </a:solidFill>
              <a:effectLst/>
              <a:latin typeface="Arial" panose="020B0604020202020204" pitchFamily="34" charset="0"/>
              <a:ea typeface="+mn-ea"/>
              <a:cs typeface="Arial" panose="020B0604020202020204" pitchFamily="34" charset="0"/>
            </a:rPr>
            <a:t>amylase: </a:t>
          </a:r>
          <a:r>
            <a:rPr lang="en-GB" sz="800" b="0" i="0">
              <a:solidFill>
                <a:schemeClr val="dk1"/>
              </a:solidFill>
              <a:effectLst/>
              <a:latin typeface="Arial" panose="020B0604020202020204" pitchFamily="34" charset="0"/>
              <a:ea typeface="+mn-ea"/>
              <a:cs typeface="Arial" panose="020B0604020202020204" pitchFamily="34" charset="0"/>
            </a:rPr>
            <a:t> </a:t>
          </a:r>
          <a:r>
            <a:rPr lang="en-GB" sz="800">
              <a:hlinkClick xmlns:r="http://schemas.openxmlformats.org/officeDocument/2006/relationships" r:id=""/>
            </a:rPr>
            <a:t>Enzymes catalogue (simplified).docx</a:t>
          </a:r>
          <a:endParaRPr lang="en-GB" sz="800"/>
        </a:p>
        <a:p>
          <a:endParaRPr lang="en-GB" sz="800" b="0" i="0">
            <a:solidFill>
              <a:schemeClr val="dk1"/>
            </a:solidFill>
            <a:effectLst/>
            <a:latin typeface="Arial" panose="020B0604020202020204" pitchFamily="34" charset="0"/>
            <a:ea typeface="+mn-ea"/>
            <a:cs typeface="Arial" panose="020B0604020202020204" pitchFamily="34" charset="0"/>
          </a:endParaRPr>
        </a:p>
        <a:p>
          <a:r>
            <a:rPr lang="en-GB" sz="800" b="0" i="0">
              <a:solidFill>
                <a:schemeClr val="dk1"/>
              </a:solidFill>
              <a:effectLst/>
              <a:latin typeface="Arial" panose="020B0604020202020204" pitchFamily="34" charset="0"/>
              <a:ea typeface="+mn-ea"/>
              <a:cs typeface="Arial" panose="020B0604020202020204" pitchFamily="34" charset="0"/>
            </a:rPr>
            <a:t>3) </a:t>
          </a:r>
          <a:r>
            <a:rPr lang="en-GB" sz="800">
              <a:hlinkClick xmlns:r="http://schemas.openxmlformats.org/officeDocument/2006/relationships" r:id=""/>
            </a:rPr>
            <a:t>The alcohol textbook - [PDF Document] (vdocument.in)</a:t>
          </a:r>
          <a:endParaRPr lang="en-GB" sz="650" b="0" i="0">
            <a:solidFill>
              <a:schemeClr val="dk1"/>
            </a:solidFill>
            <a:effectLst/>
            <a:latin typeface="Arial" panose="020B0604020202020204" pitchFamily="34" charset="0"/>
            <a:ea typeface="+mn-ea"/>
            <a:cs typeface="Arial" panose="020B0604020202020204" pitchFamily="34" charset="0"/>
          </a:endParaRPr>
        </a:p>
      </xdr:txBody>
    </xdr:sp>
    <xdr:clientData/>
  </xdr:twoCellAnchor>
  <xdr:twoCellAnchor>
    <xdr:from>
      <xdr:col>1</xdr:col>
      <xdr:colOff>5880</xdr:colOff>
      <xdr:row>59</xdr:row>
      <xdr:rowOff>158281</xdr:rowOff>
    </xdr:from>
    <xdr:to>
      <xdr:col>71</xdr:col>
      <xdr:colOff>94073</xdr:colOff>
      <xdr:row>64</xdr:row>
      <xdr:rowOff>135231</xdr:rowOff>
    </xdr:to>
    <xdr:sp macro="" textlink="">
      <xdr:nvSpPr>
        <xdr:cNvPr id="6" name="TextBox 5">
          <a:extLst>
            <a:ext uri="{FF2B5EF4-FFF2-40B4-BE49-F238E27FC236}">
              <a16:creationId xmlns:a16="http://schemas.microsoft.com/office/drawing/2014/main" id="{5E935306-D749-4427-81A6-0E83403364CD}"/>
            </a:ext>
          </a:extLst>
        </xdr:cNvPr>
        <xdr:cNvSpPr txBox="1"/>
      </xdr:nvSpPr>
      <xdr:spPr>
        <a:xfrm>
          <a:off x="201143" y="9711856"/>
          <a:ext cx="7874880" cy="786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650">
              <a:latin typeface="Arial" panose="020B0604020202020204" pitchFamily="34" charset="0"/>
              <a:cs typeface="Arial" panose="020B0604020202020204" pitchFamily="34" charset="0"/>
            </a:rPr>
            <a:t>Notes:</a:t>
          </a:r>
        </a:p>
        <a:p>
          <a:r>
            <a:rPr lang="en-GB" sz="650">
              <a:latin typeface="Arial" panose="020B0604020202020204" pitchFamily="34" charset="0"/>
              <a:cs typeface="Arial" panose="020B0604020202020204" pitchFamily="34" charset="0"/>
            </a:rPr>
            <a:t>- </a:t>
          </a:r>
        </a:p>
        <a:p>
          <a:endParaRPr lang="en-GB" sz="1100" b="0" i="0" u="none" strike="noStrike">
            <a:solidFill>
              <a:schemeClr val="dk1"/>
            </a:solidFill>
            <a:effectLst/>
            <a:latin typeface="+mn-lt"/>
            <a:ea typeface="+mn-ea"/>
            <a:cs typeface="+mn-cs"/>
          </a:endParaRPr>
        </a:p>
        <a:p>
          <a:endParaRPr lang="en-GB" sz="1100"/>
        </a:p>
      </xdr:txBody>
    </xdr:sp>
    <xdr:clientData/>
  </xdr:twoCellAnchor>
  <xdr:twoCellAnchor>
    <xdr:from>
      <xdr:col>73</xdr:col>
      <xdr:colOff>22679</xdr:colOff>
      <xdr:row>48</xdr:row>
      <xdr:rowOff>17171</xdr:rowOff>
    </xdr:from>
    <xdr:to>
      <xdr:col>113</xdr:col>
      <xdr:colOff>95251</xdr:colOff>
      <xdr:row>59</xdr:row>
      <xdr:rowOff>138043</xdr:rowOff>
    </xdr:to>
    <xdr:sp macro="" textlink="">
      <xdr:nvSpPr>
        <xdr:cNvPr id="107" name="TextBox 6">
          <a:extLst>
            <a:ext uri="{FF2B5EF4-FFF2-40B4-BE49-F238E27FC236}">
              <a16:creationId xmlns:a16="http://schemas.microsoft.com/office/drawing/2014/main" id="{A66A3017-C81D-4CD7-8594-46B8DD519098}"/>
            </a:ext>
          </a:extLst>
        </xdr:cNvPr>
        <xdr:cNvSpPr txBox="1"/>
      </xdr:nvSpPr>
      <xdr:spPr>
        <a:xfrm>
          <a:off x="8223704" y="7789571"/>
          <a:ext cx="4454072" cy="190204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650">
              <a:latin typeface="Arial" panose="020B0604020202020204" pitchFamily="34" charset="0"/>
              <a:cs typeface="Arial" panose="020B0604020202020204" pitchFamily="34" charset="0"/>
            </a:rPr>
            <a:t>Assumptions &amp; Explainations:</a:t>
          </a:r>
        </a:p>
        <a:p>
          <a:endParaRPr lang="en-GB" sz="650">
            <a:latin typeface="Arial" panose="020B0604020202020204" pitchFamily="34" charset="0"/>
            <a:cs typeface="Arial" panose="020B0604020202020204" pitchFamily="34" charset="0"/>
          </a:endParaRPr>
        </a:p>
        <a:p>
          <a:r>
            <a:rPr lang="en-GB" sz="650">
              <a:latin typeface="Arial" panose="020B0604020202020204" pitchFamily="34" charset="0"/>
              <a:cs typeface="Arial" panose="020B0604020202020204" pitchFamily="34" charset="0"/>
            </a:rPr>
            <a:t>1)</a:t>
          </a:r>
          <a:r>
            <a:rPr lang="en-GB" sz="650" baseline="0">
              <a:latin typeface="Arial" panose="020B0604020202020204" pitchFamily="34" charset="0"/>
              <a:cs typeface="Arial" panose="020B0604020202020204" pitchFamily="34" charset="0"/>
            </a:rPr>
            <a:t> Liquefaction is assumed to take 1.5 hour</a:t>
          </a:r>
        </a:p>
        <a:p>
          <a:r>
            <a:rPr lang="en-GB" sz="650" baseline="0">
              <a:latin typeface="Arial" panose="020B0604020202020204" pitchFamily="34" charset="0"/>
              <a:cs typeface="Arial" panose="020B0604020202020204" pitchFamily="34" charset="0"/>
            </a:rPr>
            <a:t>2) Reaction rate for chosen </a:t>
          </a:r>
          <a:r>
            <a:rPr lang="el-GR" sz="650" b="0" i="0" baseline="0">
              <a:solidFill>
                <a:schemeClr val="dk1"/>
              </a:solidFill>
              <a:effectLst/>
              <a:latin typeface="Arial" panose="020B0604020202020204" pitchFamily="34" charset="0"/>
              <a:ea typeface="+mn-ea"/>
              <a:cs typeface="Arial" panose="020B0604020202020204" pitchFamily="34" charset="0"/>
            </a:rPr>
            <a:t>α-</a:t>
          </a:r>
          <a:r>
            <a:rPr lang="en-GB" sz="650" b="0" i="0" baseline="0">
              <a:solidFill>
                <a:schemeClr val="dk1"/>
              </a:solidFill>
              <a:effectLst/>
              <a:latin typeface="Arial" panose="020B0604020202020204" pitchFamily="34" charset="0"/>
              <a:ea typeface="+mn-ea"/>
              <a:cs typeface="Arial" panose="020B0604020202020204" pitchFamily="34" charset="0"/>
            </a:rPr>
            <a:t>amylase assumed to be optimal (95 DegC and 5 pH)</a:t>
          </a:r>
        </a:p>
        <a:p>
          <a:r>
            <a:rPr lang="en-GB" sz="650" b="0" i="0" baseline="0">
              <a:solidFill>
                <a:schemeClr val="dk1"/>
              </a:solidFill>
              <a:effectLst/>
              <a:latin typeface="Arial" panose="020B0604020202020204" pitchFamily="34" charset="0"/>
              <a:ea typeface="+mn-ea"/>
              <a:cs typeface="Arial" panose="020B0604020202020204" pitchFamily="34" charset="0"/>
            </a:rPr>
            <a:t>3) Converstion of starch to maltose assumed to be 99% efficient</a:t>
          </a:r>
        </a:p>
        <a:p>
          <a:endParaRPr lang="en-GB" sz="650" b="0" i="0" baseline="0">
            <a:solidFill>
              <a:schemeClr val="dk1"/>
            </a:solidFill>
            <a:effectLst/>
            <a:latin typeface="Arial" panose="020B0604020202020204" pitchFamily="34" charset="0"/>
            <a:ea typeface="+mn-ea"/>
            <a:cs typeface="Arial" panose="020B0604020202020204" pitchFamily="34" charset="0"/>
          </a:endParaRPr>
        </a:p>
        <a:p>
          <a:endParaRPr lang="en-GB" sz="650" b="0" i="0" baseline="0">
            <a:solidFill>
              <a:schemeClr val="dk1"/>
            </a:solidFill>
            <a:effectLst/>
            <a:latin typeface="Arial" panose="020B0604020202020204" pitchFamily="34" charset="0"/>
            <a:ea typeface="+mn-ea"/>
            <a:cs typeface="Arial" panose="020B0604020202020204" pitchFamily="34" charset="0"/>
          </a:endParaRPr>
        </a:p>
        <a:p>
          <a:r>
            <a:rPr lang="en-GB" sz="650" b="0" i="0" baseline="0">
              <a:solidFill>
                <a:schemeClr val="dk1"/>
              </a:solidFill>
              <a:effectLst/>
              <a:latin typeface="Arial" panose="020B0604020202020204" pitchFamily="34" charset="0"/>
              <a:ea typeface="+mn-ea"/>
              <a:cs typeface="Arial" panose="020B0604020202020204" pitchFamily="34" charset="0"/>
            </a:rPr>
            <a:t>Volume of liquefaction tank:</a:t>
          </a:r>
        </a:p>
        <a:p>
          <a:r>
            <a:rPr lang="en-GB" sz="650" b="0" i="0" baseline="0">
              <a:solidFill>
                <a:schemeClr val="dk1"/>
              </a:solidFill>
              <a:effectLst/>
              <a:latin typeface="Arial" panose="020B0604020202020204" pitchFamily="34" charset="0"/>
              <a:ea typeface="+mn-ea"/>
              <a:cs typeface="Arial" panose="020B0604020202020204" pitchFamily="34" charset="0"/>
            </a:rPr>
            <a:t>The whole of the liquefaction block is designed to be continuous, with individual tanks being batch, each taking 0.5 hours to fill and having a residence time of 1.5 hours. For initial start-up, tank 1 will fill in 0.5 hours and then begin liquefaction. During the next 1.5 hours, tank 1 will finish at the same time that tank 4 will finish filling up. Then tank 1 will empty in 0.5 hours at a flowrate of 163m3/h while simultaneously tank 5 will fill up within the same 0.5 hour timeblock at same flowrate of 163m3/h. Therefore after initial start-up, the liquefaction block will be continuous, maintanining a constant volumetirc flowrate as tanks fill and empty simultaneously. This design of an overall continuous block consisting of individually batch tanks is assumed to be adopted for other parts of the process and will be designed in detail for task 2. Every 3 days, 2h of CIP will be conducted in each tank simultaneously. </a:t>
          </a:r>
          <a:endParaRPr lang="en-GB" sz="650">
            <a:latin typeface="Arial" panose="020B0604020202020204" pitchFamily="34" charset="0"/>
            <a:cs typeface="Arial" panose="020B0604020202020204" pitchFamily="34" charset="0"/>
          </a:endParaRPr>
        </a:p>
      </xdr:txBody>
    </xdr:sp>
    <xdr:clientData/>
  </xdr:twoCellAnchor>
  <xdr:twoCellAnchor editAs="oneCell">
    <xdr:from>
      <xdr:col>132</xdr:col>
      <xdr:colOff>170510</xdr:colOff>
      <xdr:row>7</xdr:row>
      <xdr:rowOff>111714</xdr:rowOff>
    </xdr:from>
    <xdr:to>
      <xdr:col>140</xdr:col>
      <xdr:colOff>188918</xdr:colOff>
      <xdr:row>17</xdr:row>
      <xdr:rowOff>124652</xdr:rowOff>
    </xdr:to>
    <xdr:pic>
      <xdr:nvPicPr>
        <xdr:cNvPr id="8" name="Picture 7">
          <a:extLst>
            <a:ext uri="{FF2B5EF4-FFF2-40B4-BE49-F238E27FC236}">
              <a16:creationId xmlns:a16="http://schemas.microsoft.com/office/drawing/2014/main" id="{1A0565B0-0461-5CD5-F7B2-490987A98243}"/>
            </a:ext>
          </a:extLst>
        </xdr:cNvPr>
        <xdr:cNvPicPr>
          <a:picLocks noChangeAspect="1"/>
        </xdr:cNvPicPr>
      </xdr:nvPicPr>
      <xdr:blipFill>
        <a:blip xmlns:r="http://schemas.openxmlformats.org/officeDocument/2006/relationships" r:embed="rId2"/>
        <a:stretch>
          <a:fillRect/>
        </a:stretch>
      </xdr:blipFill>
      <xdr:spPr>
        <a:xfrm>
          <a:off x="15110650" y="1264121"/>
          <a:ext cx="5286556" cy="16592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171450</xdr:colOff>
      <xdr:row>61</xdr:row>
      <xdr:rowOff>0</xdr:rowOff>
    </xdr:from>
    <xdr:to>
      <xdr:col>46</xdr:col>
      <xdr:colOff>9525</xdr:colOff>
      <xdr:row>64</xdr:row>
      <xdr:rowOff>152400</xdr:rowOff>
    </xdr:to>
    <xdr:cxnSp macro="">
      <xdr:nvCxnSpPr>
        <xdr:cNvPr id="2" name="Straight Connector 1">
          <a:extLst>
            <a:ext uri="{FF2B5EF4-FFF2-40B4-BE49-F238E27FC236}">
              <a16:creationId xmlns:a16="http://schemas.microsoft.com/office/drawing/2014/main" id="{AD4B4D78-864E-41AC-A6A5-815A66D55D34}"/>
            </a:ext>
          </a:extLst>
        </xdr:cNvPr>
        <xdr:cNvCxnSpPr/>
      </xdr:nvCxnSpPr>
      <xdr:spPr bwMode="auto">
        <a:xfrm flipV="1">
          <a:off x="361950" y="9525000"/>
          <a:ext cx="4778375" cy="62865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19050</xdr:colOff>
      <xdr:row>62</xdr:row>
      <xdr:rowOff>38100</xdr:rowOff>
    </xdr:from>
    <xdr:to>
      <xdr:col>33</xdr:col>
      <xdr:colOff>19050</xdr:colOff>
      <xdr:row>63</xdr:row>
      <xdr:rowOff>123825</xdr:rowOff>
    </xdr:to>
    <xdr:sp macro="" textlink="">
      <xdr:nvSpPr>
        <xdr:cNvPr id="3" name="TextBox 2">
          <a:extLst>
            <a:ext uri="{FF2B5EF4-FFF2-40B4-BE49-F238E27FC236}">
              <a16:creationId xmlns:a16="http://schemas.microsoft.com/office/drawing/2014/main" id="{46CBC98B-C6DC-4A1E-B0D3-109F2882711E}"/>
            </a:ext>
          </a:extLst>
        </xdr:cNvPr>
        <xdr:cNvSpPr txBox="1"/>
      </xdr:nvSpPr>
      <xdr:spPr>
        <a:xfrm>
          <a:off x="1695450" y="9721850"/>
          <a:ext cx="2051050" cy="24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SEE PAGE 1</a:t>
          </a:r>
        </a:p>
      </xdr:txBody>
    </xdr:sp>
    <xdr:clientData/>
  </xdr:twoCellAnchor>
  <xdr:twoCellAnchor>
    <xdr:from>
      <xdr:col>1</xdr:col>
      <xdr:colOff>171450</xdr:colOff>
      <xdr:row>61</xdr:row>
      <xdr:rowOff>0</xdr:rowOff>
    </xdr:from>
    <xdr:to>
      <xdr:col>46</xdr:col>
      <xdr:colOff>9525</xdr:colOff>
      <xdr:row>64</xdr:row>
      <xdr:rowOff>152400</xdr:rowOff>
    </xdr:to>
    <xdr:cxnSp macro="">
      <xdr:nvCxnSpPr>
        <xdr:cNvPr id="4" name="Straight Connector 3">
          <a:extLst>
            <a:ext uri="{FF2B5EF4-FFF2-40B4-BE49-F238E27FC236}">
              <a16:creationId xmlns:a16="http://schemas.microsoft.com/office/drawing/2014/main" id="{AD1C5EC9-A5E3-414E-83FE-C2F21639EFC8}"/>
            </a:ext>
          </a:extLst>
        </xdr:cNvPr>
        <xdr:cNvCxnSpPr/>
      </xdr:nvCxnSpPr>
      <xdr:spPr bwMode="auto">
        <a:xfrm flipV="1">
          <a:off x="361950" y="9525000"/>
          <a:ext cx="4778375" cy="62865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19050</xdr:colOff>
      <xdr:row>62</xdr:row>
      <xdr:rowOff>38100</xdr:rowOff>
    </xdr:from>
    <xdr:to>
      <xdr:col>33</xdr:col>
      <xdr:colOff>19050</xdr:colOff>
      <xdr:row>63</xdr:row>
      <xdr:rowOff>123825</xdr:rowOff>
    </xdr:to>
    <xdr:sp macro="" textlink="">
      <xdr:nvSpPr>
        <xdr:cNvPr id="5" name="TextBox 4">
          <a:extLst>
            <a:ext uri="{FF2B5EF4-FFF2-40B4-BE49-F238E27FC236}">
              <a16:creationId xmlns:a16="http://schemas.microsoft.com/office/drawing/2014/main" id="{EF583DCA-DD57-4697-BF38-9B79E2C7D647}"/>
            </a:ext>
          </a:extLst>
        </xdr:cNvPr>
        <xdr:cNvSpPr txBox="1"/>
      </xdr:nvSpPr>
      <xdr:spPr>
        <a:xfrm>
          <a:off x="1695450" y="9721850"/>
          <a:ext cx="2051050" cy="24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SEE PAGE 1</a:t>
          </a:r>
        </a:p>
      </xdr:txBody>
    </xdr:sp>
    <xdr:clientData/>
  </xdr:twoCellAnchor>
  <xdr:twoCellAnchor editAs="oneCell">
    <xdr:from>
      <xdr:col>22</xdr:col>
      <xdr:colOff>57150</xdr:colOff>
      <xdr:row>2</xdr:row>
      <xdr:rowOff>0</xdr:rowOff>
    </xdr:from>
    <xdr:to>
      <xdr:col>22</xdr:col>
      <xdr:colOff>102870</xdr:colOff>
      <xdr:row>6</xdr:row>
      <xdr:rowOff>28575</xdr:rowOff>
    </xdr:to>
    <xdr:pic>
      <xdr:nvPicPr>
        <xdr:cNvPr id="6" name="Picture 5" descr="http://workspace.nottingham.ac.uk/download/attachments/75730794/UoN-UK-C-M.Black.jpg?version=1&amp;modificationDate=1284112869000">
          <a:extLst>
            <a:ext uri="{FF2B5EF4-FFF2-40B4-BE49-F238E27FC236}">
              <a16:creationId xmlns:a16="http://schemas.microsoft.com/office/drawing/2014/main" id="{BCF8A3A3-030F-45CD-94F1-5A8404F353E6}"/>
            </a:ext>
          </a:extLst>
        </xdr:cNvPr>
        <xdr:cNvPicPr/>
      </xdr:nvPicPr>
      <xdr:blipFill>
        <a:blip xmlns:r="http://schemas.openxmlformats.org/officeDocument/2006/relationships" r:embed="rId1" cstate="print"/>
        <a:srcRect/>
        <a:stretch>
          <a:fillRect/>
        </a:stretch>
      </xdr:blipFill>
      <xdr:spPr bwMode="auto">
        <a:xfrm>
          <a:off x="2597150" y="317500"/>
          <a:ext cx="45720" cy="663575"/>
        </a:xfrm>
        <a:prstGeom prst="rect">
          <a:avLst/>
        </a:prstGeom>
        <a:noFill/>
        <a:ln w="9525">
          <a:noFill/>
          <a:miter lim="800000"/>
          <a:headEnd/>
          <a:tailEnd/>
        </a:ln>
      </xdr:spPr>
    </xdr:pic>
    <xdr:clientData/>
  </xdr:twoCellAnchor>
  <xdr:twoCellAnchor editAs="oneCell">
    <xdr:from>
      <xdr:col>22</xdr:col>
      <xdr:colOff>66674</xdr:colOff>
      <xdr:row>1</xdr:row>
      <xdr:rowOff>161924</xdr:rowOff>
    </xdr:from>
    <xdr:to>
      <xdr:col>37</xdr:col>
      <xdr:colOff>66675</xdr:colOff>
      <xdr:row>6</xdr:row>
      <xdr:rowOff>28574</xdr:rowOff>
    </xdr:to>
    <xdr:pic>
      <xdr:nvPicPr>
        <xdr:cNvPr id="7" name="Picture 6" descr="http://workspace.nottingham.ac.uk/download/attachments/75730794/UoN-UK-C-M.Black.jpg?version=1&amp;modificationDate=1284112869000">
          <a:extLst>
            <a:ext uri="{FF2B5EF4-FFF2-40B4-BE49-F238E27FC236}">
              <a16:creationId xmlns:a16="http://schemas.microsoft.com/office/drawing/2014/main" id="{7E4B4278-0514-49F0-B5FB-6CEF5CFD6083}"/>
            </a:ext>
          </a:extLst>
        </xdr:cNvPr>
        <xdr:cNvPicPr/>
      </xdr:nvPicPr>
      <xdr:blipFill>
        <a:blip xmlns:r="http://schemas.openxmlformats.org/officeDocument/2006/relationships" r:embed="rId1" cstate="print"/>
        <a:srcRect/>
        <a:stretch>
          <a:fillRect/>
        </a:stretch>
      </xdr:blipFill>
      <xdr:spPr bwMode="auto">
        <a:xfrm>
          <a:off x="2606674" y="320674"/>
          <a:ext cx="1619251" cy="660400"/>
        </a:xfrm>
        <a:prstGeom prst="rect">
          <a:avLst/>
        </a:prstGeom>
        <a:noFill/>
        <a:ln w="9525">
          <a:noFill/>
          <a:miter lim="800000"/>
          <a:headEnd/>
          <a:tailEnd/>
        </a:ln>
      </xdr:spPr>
    </xdr:pic>
    <xdr:clientData/>
  </xdr:twoCellAnchor>
  <xdr:twoCellAnchor>
    <xdr:from>
      <xdr:col>1</xdr:col>
      <xdr:colOff>171450</xdr:colOff>
      <xdr:row>61</xdr:row>
      <xdr:rowOff>0</xdr:rowOff>
    </xdr:from>
    <xdr:to>
      <xdr:col>46</xdr:col>
      <xdr:colOff>9525</xdr:colOff>
      <xdr:row>64</xdr:row>
      <xdr:rowOff>152400</xdr:rowOff>
    </xdr:to>
    <xdr:cxnSp macro="">
      <xdr:nvCxnSpPr>
        <xdr:cNvPr id="8" name="Straight Connector 7">
          <a:extLst>
            <a:ext uri="{FF2B5EF4-FFF2-40B4-BE49-F238E27FC236}">
              <a16:creationId xmlns:a16="http://schemas.microsoft.com/office/drawing/2014/main" id="{323E29B8-CEED-4B03-B9A2-E41DCD350B94}"/>
            </a:ext>
          </a:extLst>
        </xdr:cNvPr>
        <xdr:cNvCxnSpPr/>
      </xdr:nvCxnSpPr>
      <xdr:spPr bwMode="auto">
        <a:xfrm flipV="1">
          <a:off x="361950" y="9525000"/>
          <a:ext cx="4778375" cy="62865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19050</xdr:colOff>
      <xdr:row>62</xdr:row>
      <xdr:rowOff>38100</xdr:rowOff>
    </xdr:from>
    <xdr:to>
      <xdr:col>33</xdr:col>
      <xdr:colOff>19050</xdr:colOff>
      <xdr:row>63</xdr:row>
      <xdr:rowOff>123825</xdr:rowOff>
    </xdr:to>
    <xdr:sp macro="" textlink="">
      <xdr:nvSpPr>
        <xdr:cNvPr id="9" name="TextBox 8">
          <a:extLst>
            <a:ext uri="{FF2B5EF4-FFF2-40B4-BE49-F238E27FC236}">
              <a16:creationId xmlns:a16="http://schemas.microsoft.com/office/drawing/2014/main" id="{801B6C53-0943-430A-ADAE-99D9556EC791}"/>
            </a:ext>
          </a:extLst>
        </xdr:cNvPr>
        <xdr:cNvSpPr txBox="1"/>
      </xdr:nvSpPr>
      <xdr:spPr>
        <a:xfrm>
          <a:off x="1695450" y="9721850"/>
          <a:ext cx="2051050" cy="24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SEE PAGE 1</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92</xdr:col>
      <xdr:colOff>66674</xdr:colOff>
      <xdr:row>1</xdr:row>
      <xdr:rowOff>200024</xdr:rowOff>
    </xdr:from>
    <xdr:ext cx="1579245" cy="676275"/>
    <xdr:pic>
      <xdr:nvPicPr>
        <xdr:cNvPr id="2" name="Picture 1" descr="A logo for a university&#10;&#10;Description automatically generated">
          <a:extLst>
            <a:ext uri="{FF2B5EF4-FFF2-40B4-BE49-F238E27FC236}">
              <a16:creationId xmlns:a16="http://schemas.microsoft.com/office/drawing/2014/main" id="{873D977D-EEBC-488D-BB50-DBE703EED986}"/>
            </a:ext>
          </a:extLst>
        </xdr:cNvPr>
        <xdr:cNvPicPr/>
      </xdr:nvPicPr>
      <xdr:blipFill>
        <a:blip xmlns:r="http://schemas.openxmlformats.org/officeDocument/2006/relationships" r:embed="rId1" cstate="print"/>
        <a:srcRect/>
        <a:stretch>
          <a:fillRect/>
        </a:stretch>
      </xdr:blipFill>
      <xdr:spPr bwMode="auto">
        <a:xfrm>
          <a:off x="10194924" y="320674"/>
          <a:ext cx="1579245" cy="676275"/>
        </a:xfrm>
        <a:prstGeom prst="rect">
          <a:avLst/>
        </a:prstGeom>
        <a:noFill/>
        <a:ln w="9525">
          <a:noFill/>
          <a:miter lim="800000"/>
          <a:headEnd/>
          <a:tailEnd/>
        </a:ln>
      </xdr:spPr>
    </xdr:pic>
    <xdr:clientData/>
  </xdr:oneCellAnchor>
  <xdr:twoCellAnchor>
    <xdr:from>
      <xdr:col>71</xdr:col>
      <xdr:colOff>171450</xdr:colOff>
      <xdr:row>61</xdr:row>
      <xdr:rowOff>0</xdr:rowOff>
    </xdr:from>
    <xdr:to>
      <xdr:col>116</xdr:col>
      <xdr:colOff>9525</xdr:colOff>
      <xdr:row>64</xdr:row>
      <xdr:rowOff>152400</xdr:rowOff>
    </xdr:to>
    <xdr:cxnSp macro="">
      <xdr:nvCxnSpPr>
        <xdr:cNvPr id="3" name="Straight Connector 2">
          <a:extLst>
            <a:ext uri="{FF2B5EF4-FFF2-40B4-BE49-F238E27FC236}">
              <a16:creationId xmlns:a16="http://schemas.microsoft.com/office/drawing/2014/main" id="{190A108B-92BB-43E9-8CF7-CF251664AEBC}"/>
            </a:ext>
          </a:extLst>
        </xdr:cNvPr>
        <xdr:cNvCxnSpPr/>
      </xdr:nvCxnSpPr>
      <xdr:spPr bwMode="auto">
        <a:xfrm flipV="1">
          <a:off x="7969250" y="9683750"/>
          <a:ext cx="4759325" cy="62865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84</xdr:col>
      <xdr:colOff>19050</xdr:colOff>
      <xdr:row>62</xdr:row>
      <xdr:rowOff>38100</xdr:rowOff>
    </xdr:from>
    <xdr:to>
      <xdr:col>103</xdr:col>
      <xdr:colOff>19050</xdr:colOff>
      <xdr:row>63</xdr:row>
      <xdr:rowOff>123825</xdr:rowOff>
    </xdr:to>
    <xdr:sp macro="" textlink="">
      <xdr:nvSpPr>
        <xdr:cNvPr id="4" name="TextBox 3">
          <a:extLst>
            <a:ext uri="{FF2B5EF4-FFF2-40B4-BE49-F238E27FC236}">
              <a16:creationId xmlns:a16="http://schemas.microsoft.com/office/drawing/2014/main" id="{48B2C89B-906E-444E-83D3-F15AA28E4A22}"/>
            </a:ext>
          </a:extLst>
        </xdr:cNvPr>
        <xdr:cNvSpPr txBox="1"/>
      </xdr:nvSpPr>
      <xdr:spPr>
        <a:xfrm>
          <a:off x="9283700" y="9880600"/>
          <a:ext cx="2051050" cy="24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SEE PAGE 1</a:t>
          </a:r>
        </a:p>
      </xdr:txBody>
    </xdr:sp>
    <xdr:clientData/>
  </xdr:twoCellAnchor>
  <xdr:twoCellAnchor>
    <xdr:from>
      <xdr:col>2</xdr:col>
      <xdr:colOff>80005</xdr:colOff>
      <xdr:row>66</xdr:row>
      <xdr:rowOff>69088</xdr:rowOff>
    </xdr:from>
    <xdr:to>
      <xdr:col>69</xdr:col>
      <xdr:colOff>5669</xdr:colOff>
      <xdr:row>78</xdr:row>
      <xdr:rowOff>51028</xdr:rowOff>
    </xdr:to>
    <xdr:sp macro="" textlink="">
      <xdr:nvSpPr>
        <xdr:cNvPr id="5" name="TextBox 4">
          <a:extLst>
            <a:ext uri="{FF2B5EF4-FFF2-40B4-BE49-F238E27FC236}">
              <a16:creationId xmlns:a16="http://schemas.microsoft.com/office/drawing/2014/main" id="{A83B20A2-E24F-4B42-8875-9866BA3EC7FD}"/>
            </a:ext>
          </a:extLst>
        </xdr:cNvPr>
        <xdr:cNvSpPr txBox="1"/>
      </xdr:nvSpPr>
      <xdr:spPr>
        <a:xfrm>
          <a:off x="461005" y="10546588"/>
          <a:ext cx="7190064" cy="188694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650">
              <a:latin typeface="Arial" panose="020B0604020202020204" pitchFamily="34" charset="0"/>
              <a:cs typeface="Arial" panose="020B0604020202020204" pitchFamily="34" charset="0"/>
            </a:rPr>
            <a:t>Relevant Information</a:t>
          </a:r>
          <a:r>
            <a:rPr lang="en-GB" sz="650" baseline="0">
              <a:latin typeface="Arial" panose="020B0604020202020204" pitchFamily="34" charset="0"/>
              <a:cs typeface="Arial" panose="020B0604020202020204" pitchFamily="34" charset="0"/>
            </a:rPr>
            <a:t> - </a:t>
          </a:r>
          <a:r>
            <a:rPr lang="en-GB" sz="650">
              <a:latin typeface="Arial" panose="020B0604020202020204" pitchFamily="34" charset="0"/>
              <a:cs typeface="Arial" panose="020B0604020202020204" pitchFamily="34" charset="0"/>
            </a:rPr>
            <a:t>Reference:</a:t>
          </a:r>
        </a:p>
        <a:p>
          <a:endParaRPr lang="en-GB" sz="650">
            <a:latin typeface="Arial" panose="020B0604020202020204" pitchFamily="34" charset="0"/>
            <a:cs typeface="Arial" panose="020B0604020202020204" pitchFamily="34" charset="0"/>
          </a:endParaRPr>
        </a:p>
        <a:p>
          <a:r>
            <a:rPr lang="en-GB" sz="650" b="0" i="0">
              <a:solidFill>
                <a:schemeClr val="dk1"/>
              </a:solidFill>
              <a:effectLst/>
              <a:latin typeface="Arial" panose="020B0604020202020204" pitchFamily="34" charset="0"/>
              <a:ea typeface="+mn-ea"/>
              <a:cs typeface="Arial" panose="020B0604020202020204" pitchFamily="34" charset="0"/>
            </a:rPr>
            <a:t>1) </a:t>
          </a:r>
          <a:r>
            <a:rPr lang="en-GB" sz="650" b="0" i="0" baseline="0">
              <a:solidFill>
                <a:schemeClr val="dk1"/>
              </a:solidFill>
              <a:effectLst/>
              <a:latin typeface="Arial" panose="020B0604020202020204" pitchFamily="34" charset="0"/>
              <a:ea typeface="+mn-ea"/>
              <a:cs typeface="Arial" panose="020B0604020202020204" pitchFamily="34" charset="0"/>
            </a:rPr>
            <a:t> Distillation mass and energy balance equations + graphs of reflux ratio, reboiler and condenser duties for different ethanol (% mol) fractions, Modeling and optimization of distillation to produce bioethanol, </a:t>
          </a:r>
          <a:r>
            <a:rPr lang="en-GB" sz="650">
              <a:latin typeface="Arial" panose="020B0604020202020204" pitchFamily="34" charset="0"/>
              <a:cs typeface="Arial" panose="020B0604020202020204" pitchFamily="34" charset="0"/>
            </a:rPr>
            <a:t>Ahmed Tgarguifa, Souad Abderafi, Tijani Bounahmidi</a:t>
          </a:r>
          <a:r>
            <a:rPr lang="en-GB" sz="650" b="0" i="0" baseline="0">
              <a:solidFill>
                <a:schemeClr val="dk1"/>
              </a:solidFill>
              <a:effectLst/>
              <a:latin typeface="Arial" panose="020B0604020202020204" pitchFamily="34" charset="0"/>
              <a:ea typeface="+mn-ea"/>
              <a:cs typeface="Arial" panose="020B0604020202020204" pitchFamily="34" charset="0"/>
            </a:rPr>
            <a:t> [May, 2016] </a:t>
          </a:r>
          <a:r>
            <a:rPr lang="en-GB" sz="650">
              <a:latin typeface="Arial" panose="020B0604020202020204" pitchFamily="34" charset="0"/>
              <a:cs typeface="Arial" panose="020B0604020202020204" pitchFamily="34" charset="0"/>
              <a:hlinkClick xmlns:r="http://schemas.openxmlformats.org/officeDocument/2006/relationships" r:id=""/>
            </a:rPr>
            <a:t>main.pdf (sciencedirectassets.com)</a:t>
          </a:r>
          <a:endParaRPr lang="en-GB" sz="650">
            <a:latin typeface="Arial" panose="020B0604020202020204" pitchFamily="34" charset="0"/>
            <a:cs typeface="Arial" panose="020B0604020202020204" pitchFamily="34" charset="0"/>
          </a:endParaRPr>
        </a:p>
        <a:p>
          <a:endParaRPr lang="en-GB" sz="650">
            <a:latin typeface="Arial" panose="020B0604020202020204" pitchFamily="34" charset="0"/>
            <a:cs typeface="Arial" panose="020B0604020202020204" pitchFamily="34" charset="0"/>
          </a:endParaRPr>
        </a:p>
        <a:p>
          <a:r>
            <a:rPr lang="en-GB" sz="650" b="0" i="0">
              <a:solidFill>
                <a:schemeClr val="dk1"/>
              </a:solidFill>
              <a:effectLst/>
              <a:latin typeface="Arial" panose="020B0604020202020204" pitchFamily="34" charset="0"/>
              <a:ea typeface="+mn-ea"/>
              <a:cs typeface="Arial" panose="020B0604020202020204" pitchFamily="34" charset="0"/>
            </a:rPr>
            <a:t>2) Simulated</a:t>
          </a:r>
          <a:r>
            <a:rPr lang="en-GB" sz="650" b="0" i="0" baseline="0">
              <a:solidFill>
                <a:schemeClr val="dk1"/>
              </a:solidFill>
              <a:effectLst/>
              <a:latin typeface="Arial" panose="020B0604020202020204" pitchFamily="34" charset="0"/>
              <a:ea typeface="+mn-ea"/>
              <a:cs typeface="Arial" panose="020B0604020202020204" pitchFamily="34" charset="0"/>
            </a:rPr>
            <a:t> distillation conditions that are translated to this project - Control of a Column/Pervaporation Process for Separating the Ethanol/WaterAzeotrope, William L. Luyben [2009] </a:t>
          </a:r>
          <a:r>
            <a:rPr lang="en-GB" sz="650">
              <a:latin typeface="Arial" panose="020B0604020202020204" pitchFamily="34" charset="0"/>
              <a:cs typeface="Arial" panose="020B0604020202020204" pitchFamily="34" charset="0"/>
              <a:hlinkClick xmlns:r="http://schemas.openxmlformats.org/officeDocument/2006/relationships" r:id=""/>
            </a:rPr>
            <a:t>Control of a Column/Pervaporation Process for Separating the Ethanol/Water Azeotrope (acs.org)</a:t>
          </a:r>
          <a:endParaRPr lang="en-GB" sz="650">
            <a:latin typeface="Arial" panose="020B0604020202020204" pitchFamily="34" charset="0"/>
            <a:cs typeface="Arial" panose="020B0604020202020204" pitchFamily="34" charset="0"/>
          </a:endParaRPr>
        </a:p>
        <a:p>
          <a:endParaRPr lang="en-GB" sz="650" b="0" i="0">
            <a:solidFill>
              <a:schemeClr val="dk1"/>
            </a:solidFill>
            <a:effectLst/>
            <a:latin typeface="Arial" panose="020B0604020202020204" pitchFamily="34" charset="0"/>
            <a:ea typeface="+mn-ea"/>
            <a:cs typeface="Arial" panose="020B0604020202020204" pitchFamily="34" charset="0"/>
          </a:endParaRPr>
        </a:p>
        <a:p>
          <a:r>
            <a:rPr lang="en-GB" sz="650" b="0" i="0">
              <a:solidFill>
                <a:schemeClr val="dk1"/>
              </a:solidFill>
              <a:effectLst/>
              <a:latin typeface="Arial" panose="020B0604020202020204" pitchFamily="34" charset="0"/>
              <a:ea typeface="+mn-ea"/>
              <a:cs typeface="Arial" panose="020B0604020202020204" pitchFamily="34" charset="0"/>
            </a:rPr>
            <a:t>3) </a:t>
          </a:r>
          <a:r>
            <a:rPr lang="en-GB" sz="800">
              <a:hlinkClick xmlns:r="http://schemas.openxmlformats.org/officeDocument/2006/relationships" r:id=""/>
            </a:rPr>
            <a:t>Distillation of an Ethanol-Water Mixture - Wolfram Demonstrations Project</a:t>
          </a:r>
          <a:endParaRPr lang="en-GB" sz="800"/>
        </a:p>
        <a:p>
          <a:endParaRPr lang="en-GB" sz="800"/>
        </a:p>
        <a:p>
          <a:r>
            <a:rPr lang="en-GB" sz="800"/>
            <a:t>4)</a:t>
          </a:r>
          <a:r>
            <a:rPr lang="en-GB" sz="800" baseline="0"/>
            <a:t> </a:t>
          </a:r>
          <a:r>
            <a:rPr lang="en-GB" sz="1100">
              <a:solidFill>
                <a:schemeClr val="dk1"/>
              </a:solidFill>
              <a:effectLst/>
              <a:latin typeface="+mn-lt"/>
              <a:ea typeface="+mn-ea"/>
              <a:cs typeface="+mn-cs"/>
            </a:rPr>
            <a:t>The alcohol textbook - [PDF Document] (vdocument.in)  </a:t>
          </a:r>
          <a:endParaRPr lang="en-GB" sz="800"/>
        </a:p>
        <a:p>
          <a:endParaRPr lang="en-GB" sz="650" b="0" i="0">
            <a:solidFill>
              <a:schemeClr val="dk1"/>
            </a:solidFill>
            <a:effectLst/>
            <a:latin typeface="Arial" panose="020B0604020202020204" pitchFamily="34" charset="0"/>
            <a:ea typeface="+mn-ea"/>
            <a:cs typeface="Arial" panose="020B0604020202020204" pitchFamily="34" charset="0"/>
          </a:endParaRPr>
        </a:p>
        <a:p>
          <a:endParaRPr lang="en-GB" sz="650" b="0" i="0">
            <a:solidFill>
              <a:schemeClr val="dk1"/>
            </a:solidFill>
            <a:effectLst/>
            <a:latin typeface="Arial" panose="020B0604020202020204" pitchFamily="34" charset="0"/>
            <a:ea typeface="+mn-ea"/>
            <a:cs typeface="Arial" panose="020B0604020202020204" pitchFamily="34" charset="0"/>
            <a:hlinkClick xmlns:r="http://schemas.openxmlformats.org/officeDocument/2006/relationships" r:id=""/>
          </a:endParaRPr>
        </a:p>
        <a:p>
          <a:endParaRPr lang="en-GB" sz="650" b="0" i="0">
            <a:solidFill>
              <a:schemeClr val="dk1"/>
            </a:solidFill>
            <a:effectLst/>
            <a:latin typeface="Arial" panose="020B0604020202020204" pitchFamily="34" charset="0"/>
            <a:ea typeface="+mn-ea"/>
            <a:cs typeface="Arial" panose="020B0604020202020204" pitchFamily="34" charset="0"/>
            <a:hlinkClick xmlns:r="http://schemas.openxmlformats.org/officeDocument/2006/relationships" r:id=""/>
          </a:endParaRPr>
        </a:p>
        <a:p>
          <a:endParaRPr lang="en-GB" sz="650" b="0" i="0">
            <a:solidFill>
              <a:schemeClr val="dk1"/>
            </a:solidFill>
            <a:effectLst/>
            <a:latin typeface="Arial" panose="020B0604020202020204" pitchFamily="34" charset="0"/>
            <a:ea typeface="+mn-ea"/>
            <a:cs typeface="Arial" panose="020B0604020202020204" pitchFamily="34" charset="0"/>
            <a:hlinkClick xmlns:r="http://schemas.openxmlformats.org/officeDocument/2006/relationships" r:id=""/>
          </a:endParaRPr>
        </a:p>
        <a:p>
          <a:r>
            <a:rPr lang="en-GB" sz="800">
              <a:hlinkClick xmlns:r="http://schemas.openxmlformats.org/officeDocument/2006/relationships" r:id=""/>
            </a:rPr>
            <a:t>Microsoft PowerPoint - Lecture 11_Binary distillation (1) (cheric.org)</a:t>
          </a:r>
          <a:endParaRPr lang="en-GB" sz="650" b="0" i="0">
            <a:solidFill>
              <a:schemeClr val="dk1"/>
            </a:solidFill>
            <a:effectLst/>
            <a:latin typeface="Arial" panose="020B0604020202020204" pitchFamily="34" charset="0"/>
            <a:ea typeface="+mn-ea"/>
            <a:cs typeface="Arial" panose="020B0604020202020204" pitchFamily="34" charset="0"/>
          </a:endParaRPr>
        </a:p>
      </xdr:txBody>
    </xdr:sp>
    <xdr:clientData/>
  </xdr:twoCellAnchor>
  <xdr:twoCellAnchor>
    <xdr:from>
      <xdr:col>1</xdr:col>
      <xdr:colOff>5880</xdr:colOff>
      <xdr:row>59</xdr:row>
      <xdr:rowOff>158281</xdr:rowOff>
    </xdr:from>
    <xdr:to>
      <xdr:col>71</xdr:col>
      <xdr:colOff>94073</xdr:colOff>
      <xdr:row>64</xdr:row>
      <xdr:rowOff>135231</xdr:rowOff>
    </xdr:to>
    <xdr:sp macro="" textlink="">
      <xdr:nvSpPr>
        <xdr:cNvPr id="6" name="TextBox 5">
          <a:extLst>
            <a:ext uri="{FF2B5EF4-FFF2-40B4-BE49-F238E27FC236}">
              <a16:creationId xmlns:a16="http://schemas.microsoft.com/office/drawing/2014/main" id="{BE08217C-CB19-4531-B60A-927199C0B743}"/>
            </a:ext>
          </a:extLst>
        </xdr:cNvPr>
        <xdr:cNvSpPr txBox="1"/>
      </xdr:nvSpPr>
      <xdr:spPr>
        <a:xfrm>
          <a:off x="196380" y="9524531"/>
          <a:ext cx="7758993" cy="77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650">
              <a:latin typeface="Arial" panose="020B0604020202020204" pitchFamily="34" charset="0"/>
              <a:cs typeface="Arial" panose="020B0604020202020204" pitchFamily="34" charset="0"/>
            </a:rPr>
            <a:t>Notes:</a:t>
          </a:r>
        </a:p>
        <a:p>
          <a:r>
            <a:rPr lang="en-GB" sz="650">
              <a:latin typeface="Arial" panose="020B0604020202020204" pitchFamily="34" charset="0"/>
              <a:cs typeface="Arial" panose="020B0604020202020204" pitchFamily="34" charset="0"/>
            </a:rPr>
            <a:t>- </a:t>
          </a:r>
        </a:p>
        <a:p>
          <a:endParaRPr lang="en-GB" sz="1100" b="0" i="0" u="none" strike="noStrike">
            <a:solidFill>
              <a:schemeClr val="dk1"/>
            </a:solidFill>
            <a:effectLst/>
            <a:latin typeface="+mn-lt"/>
            <a:ea typeface="+mn-ea"/>
            <a:cs typeface="+mn-cs"/>
          </a:endParaRPr>
        </a:p>
        <a:p>
          <a:endParaRPr lang="en-GB" sz="1100"/>
        </a:p>
      </xdr:txBody>
    </xdr:sp>
    <xdr:clientData/>
  </xdr:twoCellAnchor>
  <xdr:twoCellAnchor>
    <xdr:from>
      <xdr:col>81</xdr:col>
      <xdr:colOff>6414</xdr:colOff>
      <xdr:row>65</xdr:row>
      <xdr:rowOff>82802</xdr:rowOff>
    </xdr:from>
    <xdr:to>
      <xdr:col>121</xdr:col>
      <xdr:colOff>78986</xdr:colOff>
      <xdr:row>81</xdr:row>
      <xdr:rowOff>6415</xdr:rowOff>
    </xdr:to>
    <xdr:sp macro="" textlink="">
      <xdr:nvSpPr>
        <xdr:cNvPr id="7" name="TextBox 6">
          <a:extLst>
            <a:ext uri="{FF2B5EF4-FFF2-40B4-BE49-F238E27FC236}">
              <a16:creationId xmlns:a16="http://schemas.microsoft.com/office/drawing/2014/main" id="{D4CAC6B2-3694-43DC-B380-85096EE3DDC8}"/>
            </a:ext>
          </a:extLst>
        </xdr:cNvPr>
        <xdr:cNvSpPr txBox="1"/>
      </xdr:nvSpPr>
      <xdr:spPr>
        <a:xfrm>
          <a:off x="8947214" y="10401552"/>
          <a:ext cx="4390572" cy="24636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650">
              <a:latin typeface="Arial" panose="020B0604020202020204" pitchFamily="34" charset="0"/>
              <a:cs typeface="Arial" panose="020B0604020202020204" pitchFamily="34" charset="0"/>
            </a:rPr>
            <a:t>Assumptions &amp; Explainations</a:t>
          </a:r>
        </a:p>
        <a:p>
          <a:endParaRPr lang="en-GB" sz="650">
            <a:latin typeface="Arial" panose="020B0604020202020204" pitchFamily="34" charset="0"/>
            <a:cs typeface="Arial" panose="020B0604020202020204" pitchFamily="34" charset="0"/>
          </a:endParaRPr>
        </a:p>
        <a:p>
          <a:r>
            <a:rPr lang="en-GB" sz="650">
              <a:latin typeface="Arial" panose="020B0604020202020204" pitchFamily="34" charset="0"/>
              <a:cs typeface="Arial" panose="020B0604020202020204" pitchFamily="34" charset="0"/>
            </a:rPr>
            <a:t>- Distialltion</a:t>
          </a:r>
          <a:r>
            <a:rPr lang="en-GB" sz="650" baseline="0">
              <a:latin typeface="Arial" panose="020B0604020202020204" pitchFamily="34" charset="0"/>
              <a:cs typeface="Arial" panose="020B0604020202020204" pitchFamily="34" charset="0"/>
            </a:rPr>
            <a:t> is of ethanol/water mix near azeotrope to allow the transfer of results from literature to this project</a:t>
          </a:r>
        </a:p>
        <a:p>
          <a:endParaRPr lang="en-GB" sz="650" baseline="0">
            <a:latin typeface="Arial" panose="020B0604020202020204" pitchFamily="34" charset="0"/>
            <a:cs typeface="Arial" panose="020B0604020202020204" pitchFamily="34" charset="0"/>
          </a:endParaRPr>
        </a:p>
        <a:p>
          <a:r>
            <a:rPr lang="en-GB" sz="650" baseline="0">
              <a:latin typeface="Arial" panose="020B0604020202020204" pitchFamily="34" charset="0"/>
              <a:cs typeface="Arial" panose="020B0604020202020204" pitchFamily="34" charset="0"/>
            </a:rPr>
            <a:t>- Distillate contains only ethanol and water (no impurities)</a:t>
          </a:r>
        </a:p>
        <a:p>
          <a:endParaRPr lang="en-GB" sz="650" baseline="0">
            <a:latin typeface="Arial" panose="020B0604020202020204" pitchFamily="34" charset="0"/>
            <a:cs typeface="Arial" panose="020B0604020202020204" pitchFamily="34" charset="0"/>
          </a:endParaRPr>
        </a:p>
        <a:p>
          <a:r>
            <a:rPr lang="en-GB" sz="650" baseline="0">
              <a:latin typeface="Arial" panose="020B0604020202020204" pitchFamily="34" charset="0"/>
              <a:cs typeface="Arial" panose="020B0604020202020204" pitchFamily="34" charset="0"/>
            </a:rPr>
            <a:t>- Reflux ratio is 2.8 (1)</a:t>
          </a:r>
        </a:p>
        <a:p>
          <a:endParaRPr lang="en-GB" sz="650" baseline="0">
            <a:latin typeface="Arial" panose="020B0604020202020204" pitchFamily="34" charset="0"/>
            <a:cs typeface="Arial" panose="020B0604020202020204" pitchFamily="34" charset="0"/>
          </a:endParaRPr>
        </a:p>
        <a:p>
          <a:r>
            <a:rPr lang="en-GB" sz="650" baseline="0">
              <a:latin typeface="Arial" panose="020B0604020202020204" pitchFamily="34" charset="0"/>
              <a:cs typeface="Arial" panose="020B0604020202020204" pitchFamily="34" charset="0"/>
            </a:rPr>
            <a:t>- Reboil ratio is 15 (3)</a:t>
          </a:r>
        </a:p>
        <a:p>
          <a:endParaRPr lang="en-GB" sz="650" baseline="0">
            <a:latin typeface="Arial" panose="020B0604020202020204" pitchFamily="34" charset="0"/>
            <a:cs typeface="Arial" panose="020B0604020202020204" pitchFamily="34" charset="0"/>
          </a:endParaRPr>
        </a:p>
        <a:p>
          <a:r>
            <a:rPr lang="en-GB" sz="650" baseline="0">
              <a:latin typeface="Arial" panose="020B0604020202020204" pitchFamily="34" charset="0"/>
              <a:cs typeface="Arial" panose="020B0604020202020204" pitchFamily="34" charset="0"/>
            </a:rPr>
            <a:t>- Centrifgue solid seperation efficiency is 90%</a:t>
          </a:r>
        </a:p>
        <a:p>
          <a:endParaRPr lang="en-GB" sz="650" baseline="0">
            <a:latin typeface="Arial" panose="020B0604020202020204" pitchFamily="34" charset="0"/>
            <a:cs typeface="Arial" panose="020B0604020202020204" pitchFamily="34" charset="0"/>
          </a:endParaRPr>
        </a:p>
        <a:p>
          <a:r>
            <a:rPr lang="en-GB" sz="650" baseline="0">
              <a:latin typeface="Arial" panose="020B0604020202020204" pitchFamily="34" charset="0"/>
              <a:cs typeface="Arial" panose="020B0604020202020204" pitchFamily="34" charset="0"/>
            </a:rPr>
            <a:t>- Evaporator solid seperation efficiency is 99%</a:t>
          </a:r>
        </a:p>
        <a:p>
          <a:endParaRPr lang="en-GB" sz="650" baseline="0">
            <a:latin typeface="Arial" panose="020B0604020202020204" pitchFamily="34" charset="0"/>
            <a:cs typeface="Arial" panose="020B0604020202020204" pitchFamily="34" charset="0"/>
          </a:endParaRPr>
        </a:p>
        <a:p>
          <a:r>
            <a:rPr lang="en-GB" sz="650" baseline="0">
              <a:latin typeface="Arial" panose="020B0604020202020204" pitchFamily="34" charset="0"/>
              <a:cs typeface="Arial" panose="020B0604020202020204" pitchFamily="34" charset="0"/>
            </a:rPr>
            <a:t>- Reboiler duty = 1.69 MW (1)</a:t>
          </a:r>
        </a:p>
        <a:p>
          <a:endParaRPr lang="en-GB" sz="650" baseline="0">
            <a:latin typeface="Arial" panose="020B0604020202020204" pitchFamily="34" charset="0"/>
            <a:cs typeface="Arial" panose="020B0604020202020204" pitchFamily="34" charset="0"/>
          </a:endParaRPr>
        </a:p>
        <a:p>
          <a:r>
            <a:rPr lang="en-GB" sz="650" baseline="0">
              <a:latin typeface="Arial" panose="020B0604020202020204" pitchFamily="34" charset="0"/>
              <a:cs typeface="Arial" panose="020B0604020202020204" pitchFamily="34" charset="0"/>
            </a:rPr>
            <a:t>- Condenser duty = -0.61 MW (1) </a:t>
          </a:r>
        </a:p>
        <a:p>
          <a:endParaRPr lang="en-GB" sz="650" baseline="0">
            <a:latin typeface="Arial" panose="020B0604020202020204" pitchFamily="34" charset="0"/>
            <a:cs typeface="Arial" panose="020B0604020202020204" pitchFamily="34" charset="0"/>
          </a:endParaRPr>
        </a:p>
        <a:p>
          <a:r>
            <a:rPr lang="en-GB" sz="650" baseline="0">
              <a:latin typeface="Arial" panose="020B0604020202020204" pitchFamily="34" charset="0"/>
              <a:cs typeface="Arial" panose="020B0604020202020204" pitchFamily="34" charset="0"/>
            </a:rPr>
            <a:t>- Oxygen concenration at fermentation innoculation = 14 pppm (4)</a:t>
          </a:r>
        </a:p>
        <a:p>
          <a:endParaRPr lang="en-GB" sz="650" baseline="0">
            <a:latin typeface="Arial" panose="020B0604020202020204" pitchFamily="34" charset="0"/>
            <a:cs typeface="Arial" panose="020B0604020202020204" pitchFamily="34" charset="0"/>
          </a:endParaRPr>
        </a:p>
        <a:p>
          <a:r>
            <a:rPr lang="en-GB" sz="650" baseline="0">
              <a:latin typeface="Arial" panose="020B0604020202020204" pitchFamily="34" charset="0"/>
              <a:cs typeface="Arial" panose="020B0604020202020204" pitchFamily="34" charset="0"/>
            </a:rPr>
            <a:t>- AYF concentration in yeast starter tank = 12.5 ppm</a:t>
          </a:r>
        </a:p>
      </xdr:txBody>
    </xdr:sp>
    <xdr:clientData/>
  </xdr:twoCellAnchor>
  <xdr:twoCellAnchor editAs="oneCell">
    <xdr:from>
      <xdr:col>19</xdr:col>
      <xdr:colOff>51027</xdr:colOff>
      <xdr:row>79</xdr:row>
      <xdr:rowOff>96383</xdr:rowOff>
    </xdr:from>
    <xdr:to>
      <xdr:col>82</xdr:col>
      <xdr:colOff>40262</xdr:colOff>
      <xdr:row>93</xdr:row>
      <xdr:rowOff>52045</xdr:rowOff>
    </xdr:to>
    <xdr:pic>
      <xdr:nvPicPr>
        <xdr:cNvPr id="8" name="Picture 7" descr="A comparison of a graph&#10;&#10;Description automatically generated with medium confidence">
          <a:extLst>
            <a:ext uri="{FF2B5EF4-FFF2-40B4-BE49-F238E27FC236}">
              <a16:creationId xmlns:a16="http://schemas.microsoft.com/office/drawing/2014/main" id="{FB5299FF-6B3E-47E7-A91B-B295825C18E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8927" y="12637633"/>
          <a:ext cx="6790085" cy="2178162"/>
        </a:xfrm>
        <a:prstGeom prst="rect">
          <a:avLst/>
        </a:prstGeom>
      </xdr:spPr>
    </xdr:pic>
    <xdr:clientData/>
  </xdr:twoCellAnchor>
  <xdr:twoCellAnchor>
    <xdr:from>
      <xdr:col>22</xdr:col>
      <xdr:colOff>102053</xdr:colOff>
      <xdr:row>87</xdr:row>
      <xdr:rowOff>62366</xdr:rowOff>
    </xdr:from>
    <xdr:to>
      <xdr:col>31</xdr:col>
      <xdr:colOff>0</xdr:colOff>
      <xdr:row>87</xdr:row>
      <xdr:rowOff>68036</xdr:rowOff>
    </xdr:to>
    <xdr:cxnSp macro="">
      <xdr:nvCxnSpPr>
        <xdr:cNvPr id="9" name="Straight Connector 8">
          <a:extLst>
            <a:ext uri="{FF2B5EF4-FFF2-40B4-BE49-F238E27FC236}">
              <a16:creationId xmlns:a16="http://schemas.microsoft.com/office/drawing/2014/main" id="{1F085B19-0AAF-4C2E-B8EE-F898C012B146}"/>
            </a:ext>
          </a:extLst>
        </xdr:cNvPr>
        <xdr:cNvCxnSpPr/>
      </xdr:nvCxnSpPr>
      <xdr:spPr bwMode="auto">
        <a:xfrm>
          <a:off x="2673803" y="13873616"/>
          <a:ext cx="869497" cy="567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27</xdr:col>
      <xdr:colOff>22679</xdr:colOff>
      <xdr:row>87</xdr:row>
      <xdr:rowOff>61687</xdr:rowOff>
    </xdr:from>
    <xdr:to>
      <xdr:col>27</xdr:col>
      <xdr:colOff>33338</xdr:colOff>
      <xdr:row>91</xdr:row>
      <xdr:rowOff>73706</xdr:rowOff>
    </xdr:to>
    <xdr:cxnSp macro="">
      <xdr:nvCxnSpPr>
        <xdr:cNvPr id="10" name="Straight Connector 9">
          <a:extLst>
            <a:ext uri="{FF2B5EF4-FFF2-40B4-BE49-F238E27FC236}">
              <a16:creationId xmlns:a16="http://schemas.microsoft.com/office/drawing/2014/main" id="{D64B4152-E328-4D18-90AF-038BF5B1CA46}"/>
            </a:ext>
          </a:extLst>
        </xdr:cNvPr>
        <xdr:cNvCxnSpPr/>
      </xdr:nvCxnSpPr>
      <xdr:spPr bwMode="auto">
        <a:xfrm flipH="1">
          <a:off x="3134179" y="13872937"/>
          <a:ext cx="10659" cy="647019"/>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27</xdr:col>
      <xdr:colOff>16328</xdr:colOff>
      <xdr:row>89</xdr:row>
      <xdr:rowOff>146731</xdr:rowOff>
    </xdr:from>
    <xdr:to>
      <xdr:col>46</xdr:col>
      <xdr:colOff>62366</xdr:colOff>
      <xdr:row>90</xdr:row>
      <xdr:rowOff>5670</xdr:rowOff>
    </xdr:to>
    <xdr:cxnSp macro="">
      <xdr:nvCxnSpPr>
        <xdr:cNvPr id="11" name="Straight Connector 10">
          <a:extLst>
            <a:ext uri="{FF2B5EF4-FFF2-40B4-BE49-F238E27FC236}">
              <a16:creationId xmlns:a16="http://schemas.microsoft.com/office/drawing/2014/main" id="{97686614-98DC-4663-B53B-B179CFC2CEC7}"/>
            </a:ext>
          </a:extLst>
        </xdr:cNvPr>
        <xdr:cNvCxnSpPr/>
      </xdr:nvCxnSpPr>
      <xdr:spPr bwMode="auto">
        <a:xfrm>
          <a:off x="3127828" y="14275481"/>
          <a:ext cx="2097088" cy="17689"/>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54</xdr:col>
      <xdr:colOff>91116</xdr:colOff>
      <xdr:row>87</xdr:row>
      <xdr:rowOff>72200</xdr:rowOff>
    </xdr:from>
    <xdr:to>
      <xdr:col>62</xdr:col>
      <xdr:colOff>95833</xdr:colOff>
      <xdr:row>87</xdr:row>
      <xdr:rowOff>77870</xdr:rowOff>
    </xdr:to>
    <xdr:cxnSp macro="">
      <xdr:nvCxnSpPr>
        <xdr:cNvPr id="12" name="Straight Connector 11">
          <a:extLst>
            <a:ext uri="{FF2B5EF4-FFF2-40B4-BE49-F238E27FC236}">
              <a16:creationId xmlns:a16="http://schemas.microsoft.com/office/drawing/2014/main" id="{C72C2B9A-FC73-4D78-9FAD-0775207E917E}"/>
            </a:ext>
          </a:extLst>
        </xdr:cNvPr>
        <xdr:cNvCxnSpPr/>
      </xdr:nvCxnSpPr>
      <xdr:spPr bwMode="auto">
        <a:xfrm>
          <a:off x="6117266" y="13883450"/>
          <a:ext cx="868317" cy="5670"/>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58</xdr:col>
      <xdr:colOff>95531</xdr:colOff>
      <xdr:row>82</xdr:row>
      <xdr:rowOff>44955</xdr:rowOff>
    </xdr:from>
    <xdr:to>
      <xdr:col>58</xdr:col>
      <xdr:colOff>100800</xdr:colOff>
      <xdr:row>87</xdr:row>
      <xdr:rowOff>83538</xdr:rowOff>
    </xdr:to>
    <xdr:cxnSp macro="">
      <xdr:nvCxnSpPr>
        <xdr:cNvPr id="13" name="Straight Connector 12">
          <a:extLst>
            <a:ext uri="{FF2B5EF4-FFF2-40B4-BE49-F238E27FC236}">
              <a16:creationId xmlns:a16="http://schemas.microsoft.com/office/drawing/2014/main" id="{483A31A1-822F-4DAA-AE6C-ED76DE32ED6E}"/>
            </a:ext>
          </a:extLst>
        </xdr:cNvPr>
        <xdr:cNvCxnSpPr/>
      </xdr:nvCxnSpPr>
      <xdr:spPr bwMode="auto">
        <a:xfrm>
          <a:off x="6553481" y="13062455"/>
          <a:ext cx="5269" cy="832333"/>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58</xdr:col>
      <xdr:colOff>91790</xdr:colOff>
      <xdr:row>82</xdr:row>
      <xdr:rowOff>78672</xdr:rowOff>
    </xdr:from>
    <xdr:to>
      <xdr:col>78</xdr:col>
      <xdr:colOff>50575</xdr:colOff>
      <xdr:row>82</xdr:row>
      <xdr:rowOff>84113</xdr:rowOff>
    </xdr:to>
    <xdr:cxnSp macro="">
      <xdr:nvCxnSpPr>
        <xdr:cNvPr id="14" name="Straight Connector 13">
          <a:extLst>
            <a:ext uri="{FF2B5EF4-FFF2-40B4-BE49-F238E27FC236}">
              <a16:creationId xmlns:a16="http://schemas.microsoft.com/office/drawing/2014/main" id="{4882D7CF-F0B0-47B5-A0C8-70EC733A125D}"/>
            </a:ext>
          </a:extLst>
        </xdr:cNvPr>
        <xdr:cNvCxnSpPr/>
      </xdr:nvCxnSpPr>
      <xdr:spPr bwMode="auto">
        <a:xfrm flipV="1">
          <a:off x="6549740" y="13096172"/>
          <a:ext cx="2117785" cy="5441"/>
        </a:xfrm>
        <a:prstGeom prst="lin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83A83-1B7D-B346-A9A7-113D91E10522}">
  <sheetPr>
    <pageSetUpPr fitToPage="1"/>
  </sheetPr>
  <dimension ref="A2:EE57"/>
  <sheetViews>
    <sheetView showGridLines="0" tabSelected="1" view="pageBreakPreview" topLeftCell="B1" zoomScale="142" zoomScaleNormal="100" zoomScaleSheetLayoutView="100" workbookViewId="0">
      <selection activeCell="B2" sqref="B2:BS7"/>
    </sheetView>
  </sheetViews>
  <sheetFormatPr baseColWidth="10" defaultColWidth="9.1640625" defaultRowHeight="13" x14ac:dyDescent="0.15"/>
  <cols>
    <col min="1" max="2" width="2.83203125" style="7" customWidth="1"/>
    <col min="3" max="9" width="1.6640625" style="7" customWidth="1"/>
    <col min="10" max="10" width="2" style="7" customWidth="1"/>
    <col min="11" max="132" width="1.6640625" style="7" customWidth="1"/>
    <col min="133" max="134" width="9.1640625" style="7"/>
    <col min="135" max="135" width="9.83203125" style="7" bestFit="1" customWidth="1"/>
    <col min="136" max="16384" width="9.1640625" style="7"/>
  </cols>
  <sheetData>
    <row r="2" spans="1:132" ht="12.75" customHeight="1" x14ac:dyDescent="0.15">
      <c r="A2" s="52">
        <v>1</v>
      </c>
      <c r="B2" s="204" t="s">
        <v>16</v>
      </c>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c r="AC2" s="205"/>
      <c r="AD2" s="205"/>
      <c r="AE2" s="205"/>
      <c r="AF2" s="205"/>
      <c r="AG2" s="205"/>
      <c r="AH2" s="205"/>
      <c r="AI2" s="205"/>
      <c r="AJ2" s="205"/>
      <c r="AK2" s="205"/>
      <c r="AL2" s="205"/>
      <c r="AM2" s="205"/>
      <c r="AN2" s="205"/>
      <c r="AO2" s="205"/>
      <c r="AP2" s="205"/>
      <c r="AQ2" s="205"/>
      <c r="AR2" s="205"/>
      <c r="AS2" s="205"/>
      <c r="AT2" s="205"/>
      <c r="AU2" s="205"/>
      <c r="AV2" s="205"/>
      <c r="AW2" s="205"/>
      <c r="AX2" s="205"/>
      <c r="AY2" s="205"/>
      <c r="AZ2" s="205"/>
      <c r="BA2" s="205"/>
      <c r="BB2" s="205"/>
      <c r="BC2" s="205"/>
      <c r="BD2" s="205"/>
      <c r="BE2" s="205"/>
      <c r="BF2" s="205"/>
      <c r="BG2" s="205"/>
      <c r="BH2" s="205"/>
      <c r="BI2" s="205"/>
      <c r="BJ2" s="205"/>
      <c r="BK2" s="205"/>
      <c r="BL2" s="205"/>
      <c r="BM2" s="205"/>
      <c r="BN2" s="205"/>
      <c r="BO2" s="205"/>
      <c r="BP2" s="205"/>
      <c r="BQ2" s="205"/>
      <c r="BR2" s="205"/>
      <c r="BS2" s="206"/>
      <c r="BT2" s="213" t="s">
        <v>0</v>
      </c>
      <c r="BU2" s="214"/>
      <c r="BV2" s="214"/>
      <c r="BW2" s="214"/>
      <c r="BX2" s="214"/>
      <c r="BY2" s="123" t="s">
        <v>40</v>
      </c>
      <c r="BZ2" s="123"/>
      <c r="CA2" s="123"/>
      <c r="CB2" s="123"/>
      <c r="CC2" s="123"/>
      <c r="CD2" s="123"/>
      <c r="CE2" s="123"/>
      <c r="CF2" s="123"/>
      <c r="CG2" s="123"/>
      <c r="CH2" s="123"/>
      <c r="CI2" s="123"/>
      <c r="CJ2" s="123"/>
      <c r="CK2" s="123"/>
      <c r="CL2" s="123"/>
      <c r="CM2" s="123"/>
      <c r="CN2" s="3"/>
      <c r="CO2" s="4"/>
      <c r="CP2" s="4"/>
      <c r="CQ2" s="4"/>
      <c r="CR2" s="4"/>
      <c r="CS2" s="4"/>
      <c r="CT2" s="4"/>
      <c r="CU2" s="4"/>
      <c r="CV2" s="4"/>
      <c r="CW2" s="4"/>
      <c r="CX2" s="4"/>
      <c r="CY2" s="4"/>
      <c r="CZ2" s="4"/>
      <c r="DA2" s="4"/>
      <c r="DB2" s="4"/>
      <c r="DC2" s="4"/>
      <c r="DD2" s="5"/>
      <c r="DE2" s="4"/>
      <c r="DF2" s="108" t="s">
        <v>12</v>
      </c>
      <c r="DG2" s="108"/>
      <c r="DH2" s="108"/>
      <c r="DI2" s="108"/>
      <c r="DJ2" s="108"/>
      <c r="DK2" s="108"/>
      <c r="DL2" s="108"/>
      <c r="DM2" s="108"/>
      <c r="DN2" s="108"/>
      <c r="DO2" s="108"/>
      <c r="DP2" s="108"/>
      <c r="DQ2" s="108"/>
      <c r="DR2" s="108"/>
      <c r="DS2" s="108"/>
      <c r="DT2" s="108"/>
      <c r="DU2" s="108"/>
      <c r="DV2" s="108"/>
      <c r="DW2" s="108"/>
      <c r="DX2" s="108"/>
      <c r="DY2" s="108"/>
      <c r="DZ2" s="108"/>
      <c r="EA2" s="108"/>
      <c r="EB2" s="6"/>
    </row>
    <row r="3" spans="1:132" ht="12.75" customHeight="1" x14ac:dyDescent="0.15">
      <c r="A3" s="53">
        <v>2</v>
      </c>
      <c r="B3" s="207"/>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208"/>
      <c r="AI3" s="208"/>
      <c r="AJ3" s="208"/>
      <c r="AK3" s="208"/>
      <c r="AL3" s="208"/>
      <c r="AM3" s="208"/>
      <c r="AN3" s="208"/>
      <c r="AO3" s="208"/>
      <c r="AP3" s="208"/>
      <c r="AQ3" s="208"/>
      <c r="AR3" s="208"/>
      <c r="AS3" s="208"/>
      <c r="AT3" s="208"/>
      <c r="AU3" s="208"/>
      <c r="AV3" s="208"/>
      <c r="AW3" s="208"/>
      <c r="AX3" s="208"/>
      <c r="AY3" s="208"/>
      <c r="AZ3" s="208"/>
      <c r="BA3" s="208"/>
      <c r="BB3" s="208"/>
      <c r="BC3" s="208"/>
      <c r="BD3" s="208"/>
      <c r="BE3" s="208"/>
      <c r="BF3" s="208"/>
      <c r="BG3" s="208"/>
      <c r="BH3" s="208"/>
      <c r="BI3" s="208"/>
      <c r="BJ3" s="208"/>
      <c r="BK3" s="208"/>
      <c r="BL3" s="208"/>
      <c r="BM3" s="208"/>
      <c r="BN3" s="208"/>
      <c r="BO3" s="208"/>
      <c r="BP3" s="208"/>
      <c r="BQ3" s="208"/>
      <c r="BR3" s="208"/>
      <c r="BS3" s="209"/>
      <c r="BT3" s="198" t="s">
        <v>1</v>
      </c>
      <c r="BU3" s="199"/>
      <c r="BV3" s="199"/>
      <c r="BW3" s="199"/>
      <c r="BX3" s="199"/>
      <c r="BY3" s="123" t="s">
        <v>184</v>
      </c>
      <c r="BZ3" s="123"/>
      <c r="CA3" s="123"/>
      <c r="CB3" s="123"/>
      <c r="CC3" s="123"/>
      <c r="CD3" s="123"/>
      <c r="CE3" s="123"/>
      <c r="CF3" s="123"/>
      <c r="CG3" s="123"/>
      <c r="CH3" s="123"/>
      <c r="CI3" s="123"/>
      <c r="CJ3" s="123"/>
      <c r="CK3" s="123"/>
      <c r="CL3" s="123"/>
      <c r="CM3" s="123"/>
      <c r="CN3" s="10"/>
      <c r="CO3" s="11"/>
      <c r="CP3" s="11"/>
      <c r="CQ3" s="11"/>
      <c r="CR3" s="11"/>
      <c r="CS3" s="11"/>
      <c r="CT3" s="11"/>
      <c r="CU3" s="11"/>
      <c r="CV3" s="11"/>
      <c r="CW3" s="11"/>
      <c r="CX3" s="11"/>
      <c r="CY3" s="11"/>
      <c r="CZ3" s="11"/>
      <c r="DA3" s="11"/>
      <c r="DB3" s="11"/>
      <c r="DC3" s="11"/>
      <c r="DD3" s="12"/>
      <c r="DE3" s="11"/>
      <c r="DF3" s="215"/>
      <c r="DG3" s="215"/>
      <c r="DH3" s="215"/>
      <c r="DI3" s="215"/>
      <c r="DJ3" s="215"/>
      <c r="DK3" s="215"/>
      <c r="DL3" s="215"/>
      <c r="DM3" s="215"/>
      <c r="DN3" s="215"/>
      <c r="DO3" s="215"/>
      <c r="DP3" s="215"/>
      <c r="DQ3" s="215"/>
      <c r="DR3" s="215"/>
      <c r="DS3" s="215"/>
      <c r="DT3" s="215"/>
      <c r="DU3" s="215"/>
      <c r="DV3" s="215"/>
      <c r="DW3" s="215"/>
      <c r="DX3" s="215"/>
      <c r="DY3" s="215"/>
      <c r="DZ3" s="215"/>
      <c r="EA3" s="215"/>
      <c r="EB3" s="13"/>
    </row>
    <row r="4" spans="1:132" ht="12.75" customHeight="1" x14ac:dyDescent="0.15">
      <c r="A4" s="53">
        <v>3</v>
      </c>
      <c r="B4" s="207"/>
      <c r="C4" s="208"/>
      <c r="D4" s="208"/>
      <c r="E4" s="208"/>
      <c r="F4" s="208"/>
      <c r="G4" s="208"/>
      <c r="H4" s="208"/>
      <c r="I4" s="208"/>
      <c r="J4" s="208"/>
      <c r="K4" s="208"/>
      <c r="L4" s="208"/>
      <c r="M4" s="208"/>
      <c r="N4" s="208"/>
      <c r="O4" s="208"/>
      <c r="P4" s="208"/>
      <c r="Q4" s="208"/>
      <c r="R4" s="208"/>
      <c r="S4" s="208"/>
      <c r="T4" s="208"/>
      <c r="U4" s="208"/>
      <c r="V4" s="208"/>
      <c r="W4" s="208"/>
      <c r="X4" s="208"/>
      <c r="Y4" s="208"/>
      <c r="Z4" s="208"/>
      <c r="AA4" s="208"/>
      <c r="AB4" s="208"/>
      <c r="AC4" s="208"/>
      <c r="AD4" s="208"/>
      <c r="AE4" s="208"/>
      <c r="AF4" s="208"/>
      <c r="AG4" s="208"/>
      <c r="AH4" s="208"/>
      <c r="AI4" s="208"/>
      <c r="AJ4" s="208"/>
      <c r="AK4" s="208"/>
      <c r="AL4" s="208"/>
      <c r="AM4" s="208"/>
      <c r="AN4" s="208"/>
      <c r="AO4" s="208"/>
      <c r="AP4" s="208"/>
      <c r="AQ4" s="208"/>
      <c r="AR4" s="208"/>
      <c r="AS4" s="208"/>
      <c r="AT4" s="208"/>
      <c r="AU4" s="208"/>
      <c r="AV4" s="208"/>
      <c r="AW4" s="208"/>
      <c r="AX4" s="208"/>
      <c r="AY4" s="208"/>
      <c r="AZ4" s="208"/>
      <c r="BA4" s="208"/>
      <c r="BB4" s="208"/>
      <c r="BC4" s="208"/>
      <c r="BD4" s="208"/>
      <c r="BE4" s="208"/>
      <c r="BF4" s="208"/>
      <c r="BG4" s="208"/>
      <c r="BH4" s="208"/>
      <c r="BI4" s="208"/>
      <c r="BJ4" s="208"/>
      <c r="BK4" s="208"/>
      <c r="BL4" s="208"/>
      <c r="BM4" s="208"/>
      <c r="BN4" s="208"/>
      <c r="BO4" s="208"/>
      <c r="BP4" s="208"/>
      <c r="BQ4" s="208"/>
      <c r="BR4" s="208"/>
      <c r="BS4" s="209"/>
      <c r="BT4" s="198" t="s">
        <v>13</v>
      </c>
      <c r="BU4" s="199"/>
      <c r="BV4" s="199"/>
      <c r="BW4" s="199"/>
      <c r="BX4" s="199"/>
      <c r="BY4" s="123" t="s">
        <v>178</v>
      </c>
      <c r="BZ4" s="123"/>
      <c r="CA4" s="123"/>
      <c r="CB4" s="123"/>
      <c r="CC4" s="123"/>
      <c r="CD4" s="123"/>
      <c r="CE4" s="123"/>
      <c r="CF4" s="123"/>
      <c r="CG4" s="123"/>
      <c r="CH4" s="123"/>
      <c r="CI4" s="123"/>
      <c r="CJ4" s="123"/>
      <c r="CK4" s="123"/>
      <c r="CL4" s="123"/>
      <c r="CM4" s="123"/>
      <c r="CN4" s="10"/>
      <c r="CO4" s="11"/>
      <c r="CP4" s="11"/>
      <c r="CQ4" s="11"/>
      <c r="CR4" s="11"/>
      <c r="CS4" s="11"/>
      <c r="CT4" s="11"/>
      <c r="CU4" s="11"/>
      <c r="CV4" s="11"/>
      <c r="CW4" s="11"/>
      <c r="CX4" s="11"/>
      <c r="CY4" s="11"/>
      <c r="CZ4" s="11"/>
      <c r="DA4" s="11"/>
      <c r="DB4" s="11"/>
      <c r="DC4" s="11"/>
      <c r="DD4" s="12"/>
      <c r="DE4" s="9"/>
      <c r="DF4" s="216"/>
      <c r="DG4" s="216"/>
      <c r="DH4" s="216"/>
      <c r="DI4" s="216"/>
      <c r="DJ4" s="216"/>
      <c r="DK4" s="216"/>
      <c r="DL4" s="216"/>
      <c r="DM4" s="216"/>
      <c r="DN4" s="216"/>
      <c r="DO4" s="216"/>
      <c r="DP4" s="216"/>
      <c r="DQ4" s="216"/>
      <c r="DR4" s="216"/>
      <c r="DS4" s="216"/>
      <c r="DT4" s="216"/>
      <c r="DU4" s="216"/>
      <c r="DV4" s="216"/>
      <c r="DW4" s="216"/>
      <c r="DX4" s="216"/>
      <c r="DY4" s="216"/>
      <c r="DZ4" s="216"/>
      <c r="EA4" s="216"/>
      <c r="EB4" s="14"/>
    </row>
    <row r="5" spans="1:132" ht="12.75" customHeight="1" x14ac:dyDescent="0.15">
      <c r="A5" s="53">
        <v>4</v>
      </c>
      <c r="B5" s="207"/>
      <c r="C5" s="208"/>
      <c r="D5" s="208"/>
      <c r="E5" s="208"/>
      <c r="F5" s="208"/>
      <c r="G5" s="208"/>
      <c r="H5" s="208"/>
      <c r="I5" s="208"/>
      <c r="J5" s="208"/>
      <c r="K5" s="208"/>
      <c r="L5" s="208"/>
      <c r="M5" s="208"/>
      <c r="N5" s="208"/>
      <c r="O5" s="208"/>
      <c r="P5" s="208"/>
      <c r="Q5" s="208"/>
      <c r="R5" s="208"/>
      <c r="S5" s="208"/>
      <c r="T5" s="208"/>
      <c r="U5" s="208"/>
      <c r="V5" s="208"/>
      <c r="W5" s="208"/>
      <c r="X5" s="208"/>
      <c r="Y5" s="208"/>
      <c r="Z5" s="208"/>
      <c r="AA5" s="208"/>
      <c r="AB5" s="208"/>
      <c r="AC5" s="208"/>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9"/>
      <c r="BT5" s="198" t="s">
        <v>2</v>
      </c>
      <c r="BU5" s="199"/>
      <c r="BV5" s="199"/>
      <c r="BW5" s="199"/>
      <c r="BX5" s="199"/>
      <c r="BY5" s="123" t="s">
        <v>179</v>
      </c>
      <c r="BZ5" s="123"/>
      <c r="CA5" s="123"/>
      <c r="CB5" s="123"/>
      <c r="CC5" s="123"/>
      <c r="CD5" s="123"/>
      <c r="CE5" s="123"/>
      <c r="CF5" s="123"/>
      <c r="CG5" s="123"/>
      <c r="CH5" s="123"/>
      <c r="CI5" s="123"/>
      <c r="CJ5" s="123"/>
      <c r="CK5" s="123"/>
      <c r="CL5" s="123"/>
      <c r="CM5" s="123"/>
      <c r="CN5" s="10"/>
      <c r="CO5" s="11"/>
      <c r="CP5" s="11"/>
      <c r="CQ5" s="11"/>
      <c r="CR5" s="11"/>
      <c r="CS5" s="11"/>
      <c r="CT5" s="11"/>
      <c r="CU5" s="11"/>
      <c r="CV5" s="11"/>
      <c r="CW5" s="11"/>
      <c r="CX5" s="11"/>
      <c r="CY5" s="11"/>
      <c r="CZ5" s="11"/>
      <c r="DA5" s="11"/>
      <c r="DB5" s="11"/>
      <c r="DC5" s="11"/>
      <c r="DD5" s="12"/>
      <c r="DE5" s="9"/>
      <c r="DF5" s="2" t="s">
        <v>14</v>
      </c>
      <c r="DG5" s="2"/>
      <c r="DH5" s="2"/>
      <c r="DI5" s="2"/>
      <c r="DJ5" s="2"/>
      <c r="DK5" s="2"/>
      <c r="DL5" s="2"/>
      <c r="DM5" s="2"/>
      <c r="DN5" s="54"/>
      <c r="DO5" s="106" t="s">
        <v>185</v>
      </c>
      <c r="DP5" s="106"/>
      <c r="DQ5" s="106"/>
      <c r="DR5" s="106"/>
      <c r="DS5" s="106"/>
      <c r="DT5" s="106"/>
      <c r="DU5" s="106"/>
      <c r="DV5" s="106"/>
      <c r="DW5" s="106"/>
      <c r="DX5" s="106"/>
      <c r="DY5" s="106"/>
      <c r="DZ5" s="106"/>
      <c r="EA5" s="106"/>
      <c r="EB5" s="197"/>
    </row>
    <row r="6" spans="1:132" ht="12.75" customHeight="1" x14ac:dyDescent="0.15">
      <c r="A6" s="53">
        <v>5</v>
      </c>
      <c r="B6" s="207"/>
      <c r="C6" s="208"/>
      <c r="D6" s="208"/>
      <c r="E6" s="208"/>
      <c r="F6" s="208"/>
      <c r="G6" s="208"/>
      <c r="H6" s="208"/>
      <c r="I6" s="208"/>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9"/>
      <c r="BT6" s="198" t="s">
        <v>3</v>
      </c>
      <c r="BU6" s="199"/>
      <c r="BV6" s="199"/>
      <c r="BW6" s="199"/>
      <c r="BX6" s="199"/>
      <c r="BY6" s="123">
        <v>1</v>
      </c>
      <c r="BZ6" s="123"/>
      <c r="CA6" s="123"/>
      <c r="CB6" s="123"/>
      <c r="CC6" s="123"/>
      <c r="CD6" s="123"/>
      <c r="CE6" s="123"/>
      <c r="CF6" s="123"/>
      <c r="CG6" s="123"/>
      <c r="CH6" s="123"/>
      <c r="CI6" s="123"/>
      <c r="CJ6" s="123"/>
      <c r="CK6" s="123"/>
      <c r="CL6" s="123"/>
      <c r="CM6" s="123"/>
      <c r="CN6" s="10"/>
      <c r="CO6" s="11"/>
      <c r="CP6" s="11"/>
      <c r="CQ6" s="11"/>
      <c r="CR6" s="11"/>
      <c r="CS6" s="11"/>
      <c r="CT6" s="11"/>
      <c r="CU6" s="11"/>
      <c r="CV6" s="11"/>
      <c r="CW6" s="11"/>
      <c r="CX6" s="11"/>
      <c r="CY6" s="11"/>
      <c r="CZ6" s="11"/>
      <c r="DA6" s="11"/>
      <c r="DB6" s="11"/>
      <c r="DC6" s="11"/>
      <c r="DD6" s="12"/>
      <c r="DE6" s="9"/>
      <c r="DF6" s="2" t="s">
        <v>15</v>
      </c>
      <c r="DG6" s="2"/>
      <c r="DH6" s="2"/>
      <c r="DI6" s="2"/>
      <c r="DJ6" s="2"/>
      <c r="DK6" s="2"/>
      <c r="DL6" s="2"/>
      <c r="DM6" s="2"/>
      <c r="DN6" s="2"/>
      <c r="DO6" s="106" t="s">
        <v>77</v>
      </c>
      <c r="DP6" s="106"/>
      <c r="DQ6" s="106"/>
      <c r="DR6" s="106"/>
      <c r="DS6" s="106"/>
      <c r="DT6" s="106"/>
      <c r="DU6" s="106"/>
      <c r="DV6" s="106"/>
      <c r="DW6" s="106"/>
      <c r="DX6" s="106"/>
      <c r="DY6" s="106"/>
      <c r="DZ6" s="106"/>
      <c r="EA6" s="106"/>
      <c r="EB6" s="197"/>
    </row>
    <row r="7" spans="1:132" ht="12.75" customHeight="1" x14ac:dyDescent="0.15">
      <c r="A7" s="52">
        <v>6</v>
      </c>
      <c r="B7" s="210"/>
      <c r="C7" s="211"/>
      <c r="D7" s="211"/>
      <c r="E7" s="211"/>
      <c r="F7" s="211"/>
      <c r="G7" s="208"/>
      <c r="H7" s="208"/>
      <c r="I7" s="208"/>
      <c r="J7" s="208"/>
      <c r="K7" s="208"/>
      <c r="L7" s="208"/>
      <c r="M7" s="208"/>
      <c r="N7" s="208"/>
      <c r="O7" s="211"/>
      <c r="P7" s="211"/>
      <c r="Q7" s="211"/>
      <c r="R7" s="211"/>
      <c r="S7" s="211"/>
      <c r="T7" s="211"/>
      <c r="U7" s="211"/>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A7" s="211"/>
      <c r="BB7" s="211"/>
      <c r="BC7" s="211"/>
      <c r="BD7" s="211"/>
      <c r="BE7" s="211"/>
      <c r="BF7" s="211"/>
      <c r="BG7" s="211"/>
      <c r="BH7" s="211"/>
      <c r="BI7" s="211"/>
      <c r="BJ7" s="211"/>
      <c r="BK7" s="211"/>
      <c r="BL7" s="211"/>
      <c r="BM7" s="211"/>
      <c r="BN7" s="211"/>
      <c r="BO7" s="211"/>
      <c r="BP7" s="211"/>
      <c r="BQ7" s="211"/>
      <c r="BR7" s="211"/>
      <c r="BS7" s="212"/>
      <c r="BT7" s="16"/>
      <c r="BU7" s="17"/>
      <c r="BV7" s="17"/>
      <c r="BW7" s="17"/>
      <c r="BX7" s="17"/>
      <c r="BY7" s="17"/>
      <c r="BZ7" s="17"/>
      <c r="CA7" s="17"/>
      <c r="CB7" s="17"/>
      <c r="CC7" s="17"/>
      <c r="CD7" s="17"/>
      <c r="CE7" s="17"/>
      <c r="CF7" s="17"/>
      <c r="CG7" s="17"/>
      <c r="CH7" s="17"/>
      <c r="CI7" s="17"/>
      <c r="CJ7" s="17"/>
      <c r="CK7" s="17"/>
      <c r="CL7" s="17"/>
      <c r="CM7" s="17"/>
      <c r="CN7" s="18"/>
      <c r="CO7" s="17"/>
      <c r="CP7" s="17"/>
      <c r="CQ7" s="19"/>
      <c r="CR7" s="19"/>
      <c r="CS7" s="19"/>
      <c r="CT7" s="17"/>
      <c r="CU7" s="17"/>
      <c r="CV7" s="17"/>
      <c r="CW7" s="17"/>
      <c r="CX7" s="17"/>
      <c r="CY7" s="17"/>
      <c r="CZ7" s="17"/>
      <c r="DA7" s="17"/>
      <c r="DB7" s="17"/>
      <c r="DC7" s="17"/>
      <c r="DD7" s="18"/>
      <c r="DE7" s="17"/>
      <c r="DF7" s="17" t="s">
        <v>18</v>
      </c>
      <c r="DG7" s="17"/>
      <c r="DH7" s="17"/>
      <c r="DI7" s="17"/>
      <c r="DJ7" s="17"/>
      <c r="DK7" s="17"/>
      <c r="DL7" s="58"/>
      <c r="DM7" s="58"/>
      <c r="DN7" s="58"/>
      <c r="DO7" s="107">
        <v>8</v>
      </c>
      <c r="DP7" s="107"/>
      <c r="DQ7" s="107"/>
      <c r="DR7" s="107"/>
      <c r="DS7" s="107"/>
      <c r="DT7" s="107"/>
      <c r="DU7" s="107"/>
      <c r="DV7" s="107"/>
      <c r="DW7" s="107"/>
      <c r="DX7" s="107"/>
      <c r="DY7" s="107"/>
      <c r="DZ7" s="107"/>
      <c r="EA7" s="107"/>
      <c r="EB7" s="200"/>
    </row>
    <row r="8" spans="1:132" ht="12.75" customHeight="1" x14ac:dyDescent="0.15">
      <c r="A8" s="53">
        <v>7</v>
      </c>
      <c r="B8" s="21"/>
      <c r="C8" s="201"/>
      <c r="D8" s="202"/>
      <c r="E8" s="202"/>
      <c r="F8" s="203"/>
      <c r="G8" s="125" t="s">
        <v>208</v>
      </c>
      <c r="H8" s="125"/>
      <c r="I8" s="125"/>
      <c r="J8" s="125"/>
      <c r="K8" s="125"/>
      <c r="L8" s="125"/>
      <c r="M8" s="125"/>
      <c r="N8" s="125"/>
      <c r="O8" s="148">
        <v>1</v>
      </c>
      <c r="P8" s="148"/>
      <c r="Q8" s="148"/>
      <c r="R8" s="148"/>
      <c r="S8" s="148"/>
      <c r="T8" s="148"/>
      <c r="U8" s="148"/>
      <c r="V8" s="148"/>
      <c r="W8" s="148"/>
      <c r="X8" s="178"/>
      <c r="Y8" s="149">
        <v>2</v>
      </c>
      <c r="Z8" s="148"/>
      <c r="AA8" s="148"/>
      <c r="AB8" s="148"/>
      <c r="AC8" s="148"/>
      <c r="AD8" s="148"/>
      <c r="AE8" s="148"/>
      <c r="AF8" s="148"/>
      <c r="AG8" s="148"/>
      <c r="AH8" s="178"/>
      <c r="AI8" s="149">
        <v>3</v>
      </c>
      <c r="AJ8" s="148"/>
      <c r="AK8" s="148"/>
      <c r="AL8" s="148"/>
      <c r="AM8" s="148"/>
      <c r="AN8" s="148"/>
      <c r="AO8" s="148"/>
      <c r="AP8" s="148"/>
      <c r="AQ8" s="148"/>
      <c r="AR8" s="178"/>
      <c r="AS8" s="149">
        <v>4</v>
      </c>
      <c r="AT8" s="148"/>
      <c r="AU8" s="148"/>
      <c r="AV8" s="148"/>
      <c r="AW8" s="148"/>
      <c r="AX8" s="148"/>
      <c r="AY8" s="148"/>
      <c r="AZ8" s="148"/>
      <c r="BA8" s="148"/>
      <c r="BB8" s="178"/>
      <c r="BC8" s="149">
        <v>5</v>
      </c>
      <c r="BD8" s="148"/>
      <c r="BE8" s="148"/>
      <c r="BF8" s="148"/>
      <c r="BG8" s="148"/>
      <c r="BH8" s="148"/>
      <c r="BI8" s="148"/>
      <c r="BJ8" s="148"/>
      <c r="BK8" s="148"/>
      <c r="BL8" s="178"/>
      <c r="BM8" s="149">
        <v>6</v>
      </c>
      <c r="BN8" s="148"/>
      <c r="BO8" s="148"/>
      <c r="BP8" s="148"/>
      <c r="BQ8" s="148"/>
      <c r="BR8" s="148"/>
      <c r="BS8" s="148"/>
      <c r="BT8" s="148"/>
      <c r="BU8" s="148"/>
      <c r="BV8" s="178"/>
      <c r="BW8" s="149">
        <v>7</v>
      </c>
      <c r="BX8" s="148"/>
      <c r="BY8" s="148"/>
      <c r="BZ8" s="148"/>
      <c r="CA8" s="148"/>
      <c r="CB8" s="148"/>
      <c r="CC8" s="148"/>
      <c r="CD8" s="148"/>
      <c r="CE8" s="148"/>
      <c r="CF8" s="178"/>
      <c r="CG8" s="149">
        <v>8</v>
      </c>
      <c r="CH8" s="148"/>
      <c r="CI8" s="148"/>
      <c r="CJ8" s="148"/>
      <c r="CK8" s="148"/>
      <c r="CL8" s="148"/>
      <c r="CM8" s="148"/>
      <c r="CN8" s="148"/>
      <c r="CO8" s="148"/>
      <c r="CP8" s="178"/>
      <c r="CQ8" s="196">
        <v>9</v>
      </c>
      <c r="CR8" s="176"/>
      <c r="CS8" s="176"/>
      <c r="CT8" s="176"/>
      <c r="CU8" s="176"/>
      <c r="CV8" s="176"/>
      <c r="CW8" s="176"/>
      <c r="CX8" s="176"/>
      <c r="CY8" s="176"/>
      <c r="CZ8" s="177"/>
      <c r="DA8" s="149">
        <v>10</v>
      </c>
      <c r="DB8" s="148"/>
      <c r="DC8" s="148"/>
      <c r="DD8" s="148"/>
      <c r="DE8" s="148"/>
      <c r="DF8" s="148"/>
      <c r="DG8" s="148"/>
      <c r="DH8" s="148"/>
      <c r="DI8" s="148"/>
      <c r="DJ8" s="178"/>
      <c r="DK8" s="65"/>
      <c r="DL8" s="217"/>
      <c r="DM8" s="218"/>
      <c r="DN8" s="218"/>
      <c r="DO8" s="218"/>
      <c r="DP8" s="218"/>
      <c r="DQ8" s="218"/>
      <c r="DR8" s="218"/>
      <c r="DS8" s="218"/>
      <c r="DT8" s="218"/>
      <c r="DU8" s="218"/>
      <c r="DV8" s="218"/>
      <c r="DW8" s="218"/>
      <c r="DX8" s="218"/>
      <c r="DY8" s="218"/>
      <c r="DZ8" s="218"/>
      <c r="EA8" s="218"/>
      <c r="EB8" s="219"/>
    </row>
    <row r="9" spans="1:132" ht="24" customHeight="1" x14ac:dyDescent="0.15">
      <c r="A9" s="53">
        <v>8</v>
      </c>
      <c r="B9" s="23"/>
      <c r="C9" s="145"/>
      <c r="D9" s="146"/>
      <c r="E9" s="146"/>
      <c r="F9" s="157"/>
      <c r="G9" s="169" t="s">
        <v>207</v>
      </c>
      <c r="H9" s="169"/>
      <c r="I9" s="169"/>
      <c r="J9" s="169"/>
      <c r="K9" s="169"/>
      <c r="L9" s="169"/>
      <c r="M9" s="169"/>
      <c r="N9" s="169"/>
      <c r="O9" s="173" t="s">
        <v>187</v>
      </c>
      <c r="P9" s="173"/>
      <c r="Q9" s="173"/>
      <c r="R9" s="173"/>
      <c r="S9" s="173"/>
      <c r="T9" s="173"/>
      <c r="U9" s="173"/>
      <c r="V9" s="173"/>
      <c r="W9" s="173"/>
      <c r="X9" s="174"/>
      <c r="Y9" s="175" t="s">
        <v>188</v>
      </c>
      <c r="Z9" s="173"/>
      <c r="AA9" s="173"/>
      <c r="AB9" s="173"/>
      <c r="AC9" s="173"/>
      <c r="AD9" s="173"/>
      <c r="AE9" s="173"/>
      <c r="AF9" s="173"/>
      <c r="AG9" s="173"/>
      <c r="AH9" s="174"/>
      <c r="AI9" s="175" t="s">
        <v>189</v>
      </c>
      <c r="AJ9" s="173"/>
      <c r="AK9" s="173"/>
      <c r="AL9" s="173"/>
      <c r="AM9" s="173"/>
      <c r="AN9" s="173"/>
      <c r="AO9" s="173"/>
      <c r="AP9" s="173"/>
      <c r="AQ9" s="173"/>
      <c r="AR9" s="174"/>
      <c r="AS9" s="175" t="s">
        <v>190</v>
      </c>
      <c r="AT9" s="173"/>
      <c r="AU9" s="173"/>
      <c r="AV9" s="173"/>
      <c r="AW9" s="173"/>
      <c r="AX9" s="173"/>
      <c r="AY9" s="173"/>
      <c r="AZ9" s="173"/>
      <c r="BA9" s="173"/>
      <c r="BB9" s="174"/>
      <c r="BC9" s="175" t="s">
        <v>186</v>
      </c>
      <c r="BD9" s="173"/>
      <c r="BE9" s="173"/>
      <c r="BF9" s="173"/>
      <c r="BG9" s="173"/>
      <c r="BH9" s="173"/>
      <c r="BI9" s="173"/>
      <c r="BJ9" s="173"/>
      <c r="BK9" s="173"/>
      <c r="BL9" s="174"/>
      <c r="BM9" s="175" t="s">
        <v>191</v>
      </c>
      <c r="BN9" s="173"/>
      <c r="BO9" s="173"/>
      <c r="BP9" s="173"/>
      <c r="BQ9" s="173"/>
      <c r="BR9" s="173"/>
      <c r="BS9" s="173"/>
      <c r="BT9" s="173"/>
      <c r="BU9" s="173"/>
      <c r="BV9" s="174"/>
      <c r="BW9" s="175" t="s">
        <v>192</v>
      </c>
      <c r="BX9" s="173"/>
      <c r="BY9" s="173"/>
      <c r="BZ9" s="173"/>
      <c r="CA9" s="173"/>
      <c r="CB9" s="173"/>
      <c r="CC9" s="173"/>
      <c r="CD9" s="173"/>
      <c r="CE9" s="173"/>
      <c r="CF9" s="174"/>
      <c r="CG9" s="175" t="s">
        <v>193</v>
      </c>
      <c r="CH9" s="173"/>
      <c r="CI9" s="173"/>
      <c r="CJ9" s="173"/>
      <c r="CK9" s="173"/>
      <c r="CL9" s="173"/>
      <c r="CM9" s="173"/>
      <c r="CN9" s="173"/>
      <c r="CO9" s="173"/>
      <c r="CP9" s="173"/>
      <c r="CQ9" s="194" t="s">
        <v>194</v>
      </c>
      <c r="CR9" s="194"/>
      <c r="CS9" s="194"/>
      <c r="CT9" s="194"/>
      <c r="CU9" s="194"/>
      <c r="CV9" s="194"/>
      <c r="CW9" s="194"/>
      <c r="CX9" s="194"/>
      <c r="CY9" s="194"/>
      <c r="CZ9" s="194"/>
      <c r="DA9" s="175" t="s">
        <v>195</v>
      </c>
      <c r="DB9" s="173"/>
      <c r="DC9" s="173"/>
      <c r="DD9" s="173"/>
      <c r="DE9" s="173"/>
      <c r="DF9" s="173"/>
      <c r="DG9" s="173"/>
      <c r="DH9" s="173"/>
      <c r="DI9" s="173"/>
      <c r="DJ9" s="195"/>
      <c r="DK9" s="66"/>
      <c r="DL9" s="147"/>
      <c r="DM9" s="148"/>
      <c r="DN9" s="148"/>
      <c r="DO9" s="148"/>
      <c r="DP9" s="148"/>
      <c r="DQ9" s="148"/>
      <c r="DR9" s="148"/>
      <c r="DS9" s="148"/>
      <c r="DT9" s="148"/>
      <c r="DU9" s="148"/>
      <c r="DV9" s="148"/>
      <c r="DW9" s="178"/>
      <c r="DX9" s="149"/>
      <c r="DY9" s="148"/>
      <c r="DZ9" s="148"/>
      <c r="EA9" s="148"/>
      <c r="EB9" s="150"/>
    </row>
    <row r="10" spans="1:132" ht="12.75" customHeight="1" x14ac:dyDescent="0.15">
      <c r="A10" s="53">
        <v>9</v>
      </c>
      <c r="B10" s="23"/>
      <c r="C10" s="145"/>
      <c r="D10" s="146"/>
      <c r="E10" s="146"/>
      <c r="F10" s="157"/>
      <c r="G10" s="125" t="s">
        <v>206</v>
      </c>
      <c r="H10" s="125"/>
      <c r="I10" s="125"/>
      <c r="J10" s="125"/>
      <c r="K10" s="125"/>
      <c r="L10" s="125"/>
      <c r="M10" s="125"/>
      <c r="N10" s="125"/>
      <c r="O10" s="123" t="s">
        <v>48</v>
      </c>
      <c r="P10" s="123"/>
      <c r="Q10" s="123"/>
      <c r="R10" s="123"/>
      <c r="S10" s="144"/>
      <c r="T10" s="126" t="s">
        <v>20</v>
      </c>
      <c r="U10" s="123"/>
      <c r="V10" s="123"/>
      <c r="W10" s="123"/>
      <c r="X10" s="144"/>
      <c r="Y10" s="126" t="s">
        <v>48</v>
      </c>
      <c r="Z10" s="123"/>
      <c r="AA10" s="123"/>
      <c r="AB10" s="123"/>
      <c r="AC10" s="144"/>
      <c r="AD10" s="126" t="s">
        <v>20</v>
      </c>
      <c r="AE10" s="123"/>
      <c r="AF10" s="123"/>
      <c r="AG10" s="123"/>
      <c r="AH10" s="144"/>
      <c r="AI10" s="126" t="s">
        <v>48</v>
      </c>
      <c r="AJ10" s="123"/>
      <c r="AK10" s="123"/>
      <c r="AL10" s="123"/>
      <c r="AM10" s="144"/>
      <c r="AN10" s="126" t="s">
        <v>20</v>
      </c>
      <c r="AO10" s="123"/>
      <c r="AP10" s="123"/>
      <c r="AQ10" s="123"/>
      <c r="AR10" s="144"/>
      <c r="AS10" s="126" t="s">
        <v>48</v>
      </c>
      <c r="AT10" s="123"/>
      <c r="AU10" s="123"/>
      <c r="AV10" s="123"/>
      <c r="AW10" s="144"/>
      <c r="AX10" s="126" t="s">
        <v>20</v>
      </c>
      <c r="AY10" s="123"/>
      <c r="AZ10" s="123"/>
      <c r="BA10" s="123"/>
      <c r="BB10" s="144"/>
      <c r="BC10" s="126" t="s">
        <v>48</v>
      </c>
      <c r="BD10" s="123"/>
      <c r="BE10" s="123"/>
      <c r="BF10" s="123"/>
      <c r="BG10" s="144"/>
      <c r="BH10" s="126" t="s">
        <v>20</v>
      </c>
      <c r="BI10" s="123"/>
      <c r="BJ10" s="123"/>
      <c r="BK10" s="123"/>
      <c r="BL10" s="144"/>
      <c r="BM10" s="126" t="s">
        <v>48</v>
      </c>
      <c r="BN10" s="123"/>
      <c r="BO10" s="123"/>
      <c r="BP10" s="123"/>
      <c r="BQ10" s="144"/>
      <c r="BR10" s="126" t="s">
        <v>20</v>
      </c>
      <c r="BS10" s="123"/>
      <c r="BT10" s="123"/>
      <c r="BU10" s="123"/>
      <c r="BV10" s="144"/>
      <c r="BW10" s="126" t="s">
        <v>48</v>
      </c>
      <c r="BX10" s="123"/>
      <c r="BY10" s="123"/>
      <c r="BZ10" s="123"/>
      <c r="CA10" s="144"/>
      <c r="CB10" s="126" t="s">
        <v>20</v>
      </c>
      <c r="CC10" s="123"/>
      <c r="CD10" s="123"/>
      <c r="CE10" s="123"/>
      <c r="CF10" s="144"/>
      <c r="CG10" s="126" t="s">
        <v>48</v>
      </c>
      <c r="CH10" s="123"/>
      <c r="CI10" s="123"/>
      <c r="CJ10" s="123"/>
      <c r="CK10" s="144"/>
      <c r="CL10" s="126" t="s">
        <v>20</v>
      </c>
      <c r="CM10" s="123"/>
      <c r="CN10" s="123"/>
      <c r="CO10" s="123"/>
      <c r="CP10" s="144"/>
      <c r="CQ10" s="164" t="s">
        <v>48</v>
      </c>
      <c r="CR10" s="165"/>
      <c r="CS10" s="165"/>
      <c r="CT10" s="165"/>
      <c r="CU10" s="166"/>
      <c r="CV10" s="164" t="s">
        <v>20</v>
      </c>
      <c r="CW10" s="165"/>
      <c r="CX10" s="165"/>
      <c r="CY10" s="165"/>
      <c r="CZ10" s="166"/>
      <c r="DA10" s="164" t="s">
        <v>48</v>
      </c>
      <c r="DB10" s="165"/>
      <c r="DC10" s="165"/>
      <c r="DD10" s="165"/>
      <c r="DE10" s="166"/>
      <c r="DF10" s="126" t="s">
        <v>20</v>
      </c>
      <c r="DG10" s="123"/>
      <c r="DH10" s="123"/>
      <c r="DI10" s="123"/>
      <c r="DJ10" s="124"/>
      <c r="DK10" s="66"/>
      <c r="DL10" s="140"/>
      <c r="DM10" s="141"/>
      <c r="DN10" s="141"/>
      <c r="DO10" s="141"/>
      <c r="DP10" s="141"/>
      <c r="DQ10" s="141"/>
      <c r="DR10" s="142"/>
      <c r="DS10" s="143"/>
      <c r="DT10" s="141"/>
      <c r="DU10" s="141"/>
      <c r="DV10" s="141"/>
      <c r="DW10" s="142"/>
      <c r="DX10" s="126"/>
      <c r="DY10" s="123"/>
      <c r="DZ10" s="123"/>
      <c r="EA10" s="123"/>
      <c r="EB10" s="124"/>
    </row>
    <row r="11" spans="1:132" ht="12.75" customHeight="1" x14ac:dyDescent="0.15">
      <c r="A11" s="53">
        <v>10</v>
      </c>
      <c r="B11" s="23"/>
      <c r="C11" s="191"/>
      <c r="D11" s="192"/>
      <c r="E11" s="192"/>
      <c r="F11" s="193"/>
      <c r="G11" s="167" t="s">
        <v>21</v>
      </c>
      <c r="H11" s="165"/>
      <c r="I11" s="165"/>
      <c r="J11" s="165"/>
      <c r="K11" s="165"/>
      <c r="L11" s="165"/>
      <c r="M11" s="165"/>
      <c r="N11" s="168"/>
      <c r="O11" s="116">
        <v>3.8999999999999999E-4</v>
      </c>
      <c r="P11" s="116"/>
      <c r="Q11" s="116"/>
      <c r="R11" s="116"/>
      <c r="S11" s="117"/>
      <c r="T11" s="115">
        <v>0.125</v>
      </c>
      <c r="U11" s="116"/>
      <c r="V11" s="116"/>
      <c r="W11" s="116"/>
      <c r="X11" s="117"/>
      <c r="Y11" s="116">
        <v>3.8999999999999999E-4</v>
      </c>
      <c r="Z11" s="116"/>
      <c r="AA11" s="116"/>
      <c r="AB11" s="116"/>
      <c r="AC11" s="117"/>
      <c r="AD11" s="115">
        <v>0.125</v>
      </c>
      <c r="AE11" s="116"/>
      <c r="AF11" s="116"/>
      <c r="AG11" s="116"/>
      <c r="AH11" s="117"/>
      <c r="AI11" s="116">
        <v>125</v>
      </c>
      <c r="AJ11" s="116"/>
      <c r="AK11" s="116"/>
      <c r="AL11" s="116"/>
      <c r="AM11" s="117"/>
      <c r="AN11" s="115">
        <v>125000</v>
      </c>
      <c r="AO11" s="116"/>
      <c r="AP11" s="116"/>
      <c r="AQ11" s="116"/>
      <c r="AR11" s="117"/>
      <c r="AS11" s="116">
        <v>125</v>
      </c>
      <c r="AT11" s="116"/>
      <c r="AU11" s="116"/>
      <c r="AV11" s="116"/>
      <c r="AW11" s="117"/>
      <c r="AX11" s="115">
        <v>125000</v>
      </c>
      <c r="AY11" s="116"/>
      <c r="AZ11" s="116"/>
      <c r="BA11" s="116"/>
      <c r="BB11" s="117"/>
      <c r="BC11" s="115">
        <v>125.00039</v>
      </c>
      <c r="BD11" s="116"/>
      <c r="BE11" s="116"/>
      <c r="BF11" s="116"/>
      <c r="BG11" s="117"/>
      <c r="BH11" s="115">
        <v>125000.125</v>
      </c>
      <c r="BI11" s="116"/>
      <c r="BJ11" s="116"/>
      <c r="BK11" s="116"/>
      <c r="BL11" s="117"/>
      <c r="BM11" s="115">
        <v>2.7099999999999999E-2</v>
      </c>
      <c r="BN11" s="116"/>
      <c r="BO11" s="116"/>
      <c r="BP11" s="116"/>
      <c r="BQ11" s="117"/>
      <c r="BR11" s="115">
        <v>33.33</v>
      </c>
      <c r="BS11" s="116"/>
      <c r="BT11" s="116"/>
      <c r="BU11" s="116"/>
      <c r="BV11" s="117"/>
      <c r="BW11" s="115">
        <v>2.7099999999999999E-2</v>
      </c>
      <c r="BX11" s="116"/>
      <c r="BY11" s="116"/>
      <c r="BZ11" s="116"/>
      <c r="CA11" s="117"/>
      <c r="CB11" s="115">
        <v>33.33</v>
      </c>
      <c r="CC11" s="116"/>
      <c r="CD11" s="116"/>
      <c r="CE11" s="116"/>
      <c r="CF11" s="117"/>
      <c r="CG11" s="115">
        <v>2.3400000000000001E-3</v>
      </c>
      <c r="CH11" s="116"/>
      <c r="CI11" s="116"/>
      <c r="CJ11" s="116"/>
      <c r="CK11" s="117"/>
      <c r="CL11" s="115">
        <v>0.94</v>
      </c>
      <c r="CM11" s="116"/>
      <c r="CN11" s="116"/>
      <c r="CO11" s="116"/>
      <c r="CP11" s="117"/>
      <c r="CQ11" s="115">
        <v>2.3400000000000001E-3</v>
      </c>
      <c r="CR11" s="116"/>
      <c r="CS11" s="116"/>
      <c r="CT11" s="116"/>
      <c r="CU11" s="117"/>
      <c r="CV11" s="115">
        <v>0.94</v>
      </c>
      <c r="CW11" s="116"/>
      <c r="CX11" s="116"/>
      <c r="CY11" s="116"/>
      <c r="CZ11" s="117"/>
      <c r="DA11" s="118"/>
      <c r="DB11" s="119"/>
      <c r="DC11" s="119"/>
      <c r="DD11" s="119"/>
      <c r="DE11" s="120"/>
      <c r="DF11" s="118"/>
      <c r="DG11" s="119"/>
      <c r="DH11" s="119"/>
      <c r="DI11" s="119"/>
      <c r="DJ11" s="187"/>
      <c r="DK11" s="66"/>
      <c r="DL11" s="140"/>
      <c r="DM11" s="141"/>
      <c r="DN11" s="141"/>
      <c r="DO11" s="141"/>
      <c r="DP11" s="141"/>
      <c r="DQ11" s="141"/>
      <c r="DR11" s="142"/>
      <c r="DS11" s="143"/>
      <c r="DT11" s="141"/>
      <c r="DU11" s="141"/>
      <c r="DV11" s="141"/>
      <c r="DW11" s="142"/>
      <c r="DX11" s="126"/>
      <c r="DY11" s="123"/>
      <c r="DZ11" s="123"/>
      <c r="EA11" s="123"/>
      <c r="EB11" s="124"/>
    </row>
    <row r="12" spans="1:132" ht="12.5" customHeight="1" x14ac:dyDescent="0.15">
      <c r="A12" s="52">
        <v>11</v>
      </c>
      <c r="B12" s="23"/>
      <c r="C12" s="191"/>
      <c r="D12" s="192"/>
      <c r="E12" s="192"/>
      <c r="F12" s="193"/>
      <c r="G12" s="122" t="s">
        <v>180</v>
      </c>
      <c r="H12" s="123"/>
      <c r="I12" s="123"/>
      <c r="J12" s="123"/>
      <c r="K12" s="123"/>
      <c r="L12" s="123"/>
      <c r="M12" s="123"/>
      <c r="N12" s="124"/>
      <c r="O12" s="188"/>
      <c r="P12" s="188"/>
      <c r="Q12" s="188"/>
      <c r="R12" s="188"/>
      <c r="S12" s="189"/>
      <c r="T12" s="190"/>
      <c r="U12" s="188"/>
      <c r="V12" s="188"/>
      <c r="W12" s="188"/>
      <c r="X12" s="189"/>
      <c r="Y12" s="188"/>
      <c r="Z12" s="188"/>
      <c r="AA12" s="188"/>
      <c r="AB12" s="188"/>
      <c r="AC12" s="189"/>
      <c r="AD12" s="190"/>
      <c r="AE12" s="188"/>
      <c r="AF12" s="188"/>
      <c r="AG12" s="188"/>
      <c r="AH12" s="189"/>
      <c r="AI12" s="116">
        <v>0.125</v>
      </c>
      <c r="AJ12" s="116"/>
      <c r="AK12" s="116"/>
      <c r="AL12" s="116"/>
      <c r="AM12" s="117"/>
      <c r="AN12" s="115">
        <v>125</v>
      </c>
      <c r="AO12" s="116"/>
      <c r="AP12" s="116"/>
      <c r="AQ12" s="116"/>
      <c r="AR12" s="117"/>
      <c r="AS12" s="116">
        <v>0.125</v>
      </c>
      <c r="AT12" s="116"/>
      <c r="AU12" s="116"/>
      <c r="AV12" s="116"/>
      <c r="AW12" s="117"/>
      <c r="AX12" s="115">
        <v>125</v>
      </c>
      <c r="AY12" s="116"/>
      <c r="AZ12" s="116"/>
      <c r="BA12" s="116"/>
      <c r="BB12" s="117"/>
      <c r="BC12" s="116">
        <v>0.125</v>
      </c>
      <c r="BD12" s="116"/>
      <c r="BE12" s="116"/>
      <c r="BF12" s="116"/>
      <c r="BG12" s="117"/>
      <c r="BH12" s="115">
        <v>125</v>
      </c>
      <c r="BI12" s="116"/>
      <c r="BJ12" s="116"/>
      <c r="BK12" s="116"/>
      <c r="BL12" s="117"/>
      <c r="BM12" s="118"/>
      <c r="BN12" s="119"/>
      <c r="BO12" s="119"/>
      <c r="BP12" s="119"/>
      <c r="BQ12" s="120"/>
      <c r="BR12" s="118"/>
      <c r="BS12" s="119"/>
      <c r="BT12" s="119"/>
      <c r="BU12" s="119"/>
      <c r="BV12" s="120"/>
      <c r="BW12" s="118"/>
      <c r="BX12" s="119"/>
      <c r="BY12" s="119"/>
      <c r="BZ12" s="119"/>
      <c r="CA12" s="120"/>
      <c r="CB12" s="118"/>
      <c r="CC12" s="119"/>
      <c r="CD12" s="119"/>
      <c r="CE12" s="119"/>
      <c r="CF12" s="120"/>
      <c r="CG12" s="118"/>
      <c r="CH12" s="119"/>
      <c r="CI12" s="119"/>
      <c r="CJ12" s="119"/>
      <c r="CK12" s="120"/>
      <c r="CL12" s="118"/>
      <c r="CM12" s="119"/>
      <c r="CN12" s="119"/>
      <c r="CO12" s="119"/>
      <c r="CP12" s="120"/>
      <c r="CQ12" s="118"/>
      <c r="CR12" s="119"/>
      <c r="CS12" s="119"/>
      <c r="CT12" s="119"/>
      <c r="CU12" s="120"/>
      <c r="CV12" s="118"/>
      <c r="CW12" s="119"/>
      <c r="CX12" s="119"/>
      <c r="CY12" s="119"/>
      <c r="CZ12" s="120"/>
      <c r="DA12" s="118"/>
      <c r="DB12" s="119"/>
      <c r="DC12" s="119"/>
      <c r="DD12" s="119"/>
      <c r="DE12" s="120"/>
      <c r="DF12" s="118"/>
      <c r="DG12" s="119"/>
      <c r="DH12" s="119"/>
      <c r="DI12" s="119"/>
      <c r="DJ12" s="187"/>
      <c r="DK12" s="66"/>
      <c r="DL12" s="140"/>
      <c r="DM12" s="141"/>
      <c r="DN12" s="141"/>
      <c r="DO12" s="141"/>
      <c r="DP12" s="141"/>
      <c r="DQ12" s="141"/>
      <c r="DR12" s="142"/>
      <c r="DS12" s="143"/>
      <c r="DT12" s="141"/>
      <c r="DU12" s="141"/>
      <c r="DV12" s="141"/>
      <c r="DW12" s="142"/>
      <c r="DX12" s="126"/>
      <c r="DY12" s="123"/>
      <c r="DZ12" s="123"/>
      <c r="EA12" s="123"/>
      <c r="EB12" s="124"/>
    </row>
    <row r="13" spans="1:132" ht="12.5" customHeight="1" x14ac:dyDescent="0.15">
      <c r="A13" s="53">
        <v>12</v>
      </c>
      <c r="B13" s="23"/>
      <c r="C13" s="145"/>
      <c r="D13" s="146"/>
      <c r="E13" s="146"/>
      <c r="F13" s="157"/>
      <c r="G13" s="122" t="s">
        <v>204</v>
      </c>
      <c r="H13" s="123"/>
      <c r="I13" s="123"/>
      <c r="J13" s="123"/>
      <c r="K13" s="123"/>
      <c r="L13" s="123"/>
      <c r="M13" s="123"/>
      <c r="N13" s="124"/>
      <c r="O13" s="116">
        <v>3.2799999999999999E-3</v>
      </c>
      <c r="P13" s="116"/>
      <c r="Q13" s="116"/>
      <c r="R13" s="116"/>
      <c r="S13" s="117"/>
      <c r="T13" s="115">
        <v>6.125</v>
      </c>
      <c r="U13" s="116"/>
      <c r="V13" s="116"/>
      <c r="W13" s="116"/>
      <c r="X13" s="117"/>
      <c r="Y13" s="116">
        <v>3.2799999999999999E-3</v>
      </c>
      <c r="Z13" s="116"/>
      <c r="AA13" s="116"/>
      <c r="AB13" s="116"/>
      <c r="AC13" s="117"/>
      <c r="AD13" s="115">
        <v>6.125</v>
      </c>
      <c r="AE13" s="116"/>
      <c r="AF13" s="116"/>
      <c r="AG13" s="116"/>
      <c r="AH13" s="117"/>
      <c r="AI13" s="118"/>
      <c r="AJ13" s="119"/>
      <c r="AK13" s="119"/>
      <c r="AL13" s="119"/>
      <c r="AM13" s="120"/>
      <c r="AN13" s="118"/>
      <c r="AO13" s="119"/>
      <c r="AP13" s="119"/>
      <c r="AQ13" s="119"/>
      <c r="AR13" s="120"/>
      <c r="AS13" s="118"/>
      <c r="AT13" s="119"/>
      <c r="AU13" s="119"/>
      <c r="AV13" s="119"/>
      <c r="AW13" s="120"/>
      <c r="AX13" s="118"/>
      <c r="AY13" s="119"/>
      <c r="AZ13" s="119"/>
      <c r="BA13" s="119"/>
      <c r="BB13" s="120"/>
      <c r="BC13" s="116">
        <v>3.2799999999999999E-3</v>
      </c>
      <c r="BD13" s="116"/>
      <c r="BE13" s="116"/>
      <c r="BF13" s="116"/>
      <c r="BG13" s="117"/>
      <c r="BH13" s="115">
        <v>6.125</v>
      </c>
      <c r="BI13" s="116"/>
      <c r="BJ13" s="116"/>
      <c r="BK13" s="116"/>
      <c r="BL13" s="117"/>
      <c r="BM13" s="118"/>
      <c r="BN13" s="119"/>
      <c r="BO13" s="119"/>
      <c r="BP13" s="119"/>
      <c r="BQ13" s="120"/>
      <c r="BR13" s="118"/>
      <c r="BS13" s="119"/>
      <c r="BT13" s="119"/>
      <c r="BU13" s="119"/>
      <c r="BV13" s="120"/>
      <c r="BW13" s="118"/>
      <c r="BX13" s="119"/>
      <c r="BY13" s="119"/>
      <c r="BZ13" s="119"/>
      <c r="CA13" s="120"/>
      <c r="CB13" s="118"/>
      <c r="CC13" s="119"/>
      <c r="CD13" s="119"/>
      <c r="CE13" s="119"/>
      <c r="CF13" s="120"/>
      <c r="CG13" s="118"/>
      <c r="CH13" s="119"/>
      <c r="CI13" s="119"/>
      <c r="CJ13" s="119"/>
      <c r="CK13" s="120"/>
      <c r="CL13" s="118"/>
      <c r="CM13" s="119"/>
      <c r="CN13" s="119"/>
      <c r="CO13" s="119"/>
      <c r="CP13" s="120"/>
      <c r="CQ13" s="118"/>
      <c r="CR13" s="119"/>
      <c r="CS13" s="119"/>
      <c r="CT13" s="119"/>
      <c r="CU13" s="120"/>
      <c r="CV13" s="118"/>
      <c r="CW13" s="119"/>
      <c r="CX13" s="119"/>
      <c r="CY13" s="119"/>
      <c r="CZ13" s="120"/>
      <c r="DA13" s="118"/>
      <c r="DB13" s="119"/>
      <c r="DC13" s="119"/>
      <c r="DD13" s="119"/>
      <c r="DE13" s="120"/>
      <c r="DF13" s="118"/>
      <c r="DG13" s="119"/>
      <c r="DH13" s="119"/>
      <c r="DI13" s="119"/>
      <c r="DJ13" s="187"/>
      <c r="DK13" s="66"/>
      <c r="DL13" s="140"/>
      <c r="DM13" s="141"/>
      <c r="DN13" s="141"/>
      <c r="DO13" s="141"/>
      <c r="DP13" s="141"/>
      <c r="DQ13" s="141"/>
      <c r="DR13" s="142"/>
      <c r="DS13" s="143"/>
      <c r="DT13" s="141"/>
      <c r="DU13" s="141"/>
      <c r="DV13" s="141"/>
      <c r="DW13" s="142"/>
      <c r="DX13" s="126"/>
      <c r="DY13" s="123"/>
      <c r="DZ13" s="123"/>
      <c r="EA13" s="123"/>
      <c r="EB13" s="124"/>
    </row>
    <row r="14" spans="1:132" ht="12.75" customHeight="1" x14ac:dyDescent="0.15">
      <c r="A14" s="53">
        <v>13</v>
      </c>
      <c r="B14" s="23"/>
      <c r="C14" s="145"/>
      <c r="D14" s="146"/>
      <c r="E14" s="146"/>
      <c r="F14" s="157"/>
      <c r="G14" s="122" t="s">
        <v>181</v>
      </c>
      <c r="H14" s="123"/>
      <c r="I14" s="123"/>
      <c r="J14" s="123"/>
      <c r="K14" s="123"/>
      <c r="L14" s="123"/>
      <c r="M14" s="123"/>
      <c r="N14" s="124"/>
      <c r="O14" s="188"/>
      <c r="P14" s="188"/>
      <c r="Q14" s="188"/>
      <c r="R14" s="188"/>
      <c r="S14" s="189"/>
      <c r="T14" s="190"/>
      <c r="U14" s="188"/>
      <c r="V14" s="188"/>
      <c r="W14" s="188"/>
      <c r="X14" s="189"/>
      <c r="Y14" s="188"/>
      <c r="Z14" s="188"/>
      <c r="AA14" s="188"/>
      <c r="AB14" s="188"/>
      <c r="AC14" s="189"/>
      <c r="AD14" s="190"/>
      <c r="AE14" s="188"/>
      <c r="AF14" s="188"/>
      <c r="AG14" s="188"/>
      <c r="AH14" s="189"/>
      <c r="AI14" s="115">
        <v>2.5000000000000001E-3</v>
      </c>
      <c r="AJ14" s="116"/>
      <c r="AK14" s="116"/>
      <c r="AL14" s="116"/>
      <c r="AM14" s="117"/>
      <c r="AN14" s="115">
        <v>2.5</v>
      </c>
      <c r="AO14" s="116"/>
      <c r="AP14" s="116"/>
      <c r="AQ14" s="116"/>
      <c r="AR14" s="117"/>
      <c r="AS14" s="115">
        <v>2.5000000000000001E-3</v>
      </c>
      <c r="AT14" s="116"/>
      <c r="AU14" s="116"/>
      <c r="AV14" s="116"/>
      <c r="AW14" s="117"/>
      <c r="AX14" s="115">
        <v>2.5</v>
      </c>
      <c r="AY14" s="116"/>
      <c r="AZ14" s="116"/>
      <c r="BA14" s="116"/>
      <c r="BB14" s="117"/>
      <c r="BC14" s="115">
        <v>2.5000000000000001E-3</v>
      </c>
      <c r="BD14" s="116"/>
      <c r="BE14" s="116"/>
      <c r="BF14" s="116"/>
      <c r="BG14" s="117"/>
      <c r="BH14" s="115">
        <v>2.5</v>
      </c>
      <c r="BI14" s="116"/>
      <c r="BJ14" s="116"/>
      <c r="BK14" s="116"/>
      <c r="BL14" s="117"/>
      <c r="BM14" s="118"/>
      <c r="BN14" s="119"/>
      <c r="BO14" s="119"/>
      <c r="BP14" s="119"/>
      <c r="BQ14" s="120"/>
      <c r="BR14" s="118"/>
      <c r="BS14" s="119"/>
      <c r="BT14" s="119"/>
      <c r="BU14" s="119"/>
      <c r="BV14" s="120"/>
      <c r="BW14" s="118"/>
      <c r="BX14" s="119"/>
      <c r="BY14" s="119"/>
      <c r="BZ14" s="119"/>
      <c r="CA14" s="120"/>
      <c r="CB14" s="118"/>
      <c r="CC14" s="119"/>
      <c r="CD14" s="119"/>
      <c r="CE14" s="119"/>
      <c r="CF14" s="120"/>
      <c r="CG14" s="118"/>
      <c r="CH14" s="119"/>
      <c r="CI14" s="119"/>
      <c r="CJ14" s="119"/>
      <c r="CK14" s="120"/>
      <c r="CL14" s="118"/>
      <c r="CM14" s="119"/>
      <c r="CN14" s="119"/>
      <c r="CO14" s="119"/>
      <c r="CP14" s="120"/>
      <c r="CQ14" s="118"/>
      <c r="CR14" s="119"/>
      <c r="CS14" s="119"/>
      <c r="CT14" s="119"/>
      <c r="CU14" s="120"/>
      <c r="CV14" s="118"/>
      <c r="CW14" s="119"/>
      <c r="CX14" s="119"/>
      <c r="CY14" s="119"/>
      <c r="CZ14" s="120"/>
      <c r="DA14" s="118"/>
      <c r="DB14" s="119"/>
      <c r="DC14" s="119"/>
      <c r="DD14" s="119"/>
      <c r="DE14" s="120"/>
      <c r="DF14" s="118"/>
      <c r="DG14" s="119"/>
      <c r="DH14" s="119"/>
      <c r="DI14" s="119"/>
      <c r="DJ14" s="187"/>
      <c r="DK14" s="66"/>
      <c r="DL14" s="140"/>
      <c r="DM14" s="141"/>
      <c r="DN14" s="141"/>
      <c r="DO14" s="141"/>
      <c r="DP14" s="141"/>
      <c r="DQ14" s="141"/>
      <c r="DR14" s="142"/>
      <c r="DS14" s="143"/>
      <c r="DT14" s="141"/>
      <c r="DU14" s="141"/>
      <c r="DV14" s="141"/>
      <c r="DW14" s="142"/>
      <c r="DX14" s="126"/>
      <c r="DY14" s="123"/>
      <c r="DZ14" s="123"/>
      <c r="EA14" s="123"/>
      <c r="EB14" s="124"/>
    </row>
    <row r="15" spans="1:132" ht="12.75" customHeight="1" x14ac:dyDescent="0.15">
      <c r="A15" s="53">
        <v>14</v>
      </c>
      <c r="B15" s="23"/>
      <c r="C15" s="145"/>
      <c r="D15" s="146"/>
      <c r="E15" s="146"/>
      <c r="F15" s="157"/>
      <c r="G15" s="122" t="s">
        <v>200</v>
      </c>
      <c r="H15" s="123"/>
      <c r="I15" s="123"/>
      <c r="J15" s="123"/>
      <c r="K15" s="123"/>
      <c r="L15" s="123"/>
      <c r="M15" s="123"/>
      <c r="N15" s="124"/>
      <c r="O15" s="188"/>
      <c r="P15" s="188"/>
      <c r="Q15" s="188"/>
      <c r="R15" s="188"/>
      <c r="S15" s="189"/>
      <c r="T15" s="190"/>
      <c r="U15" s="188"/>
      <c r="V15" s="188"/>
      <c r="W15" s="188"/>
      <c r="X15" s="189"/>
      <c r="Y15" s="190"/>
      <c r="Z15" s="188"/>
      <c r="AA15" s="188"/>
      <c r="AB15" s="188"/>
      <c r="AC15" s="189"/>
      <c r="AD15" s="190"/>
      <c r="AE15" s="188"/>
      <c r="AF15" s="188"/>
      <c r="AG15" s="188"/>
      <c r="AH15" s="189"/>
      <c r="AI15" s="118"/>
      <c r="AJ15" s="119"/>
      <c r="AK15" s="119"/>
      <c r="AL15" s="119"/>
      <c r="AM15" s="120"/>
      <c r="AN15" s="118"/>
      <c r="AO15" s="119"/>
      <c r="AP15" s="119"/>
      <c r="AQ15" s="119"/>
      <c r="AR15" s="120"/>
      <c r="AS15" s="118"/>
      <c r="AT15" s="119"/>
      <c r="AU15" s="119"/>
      <c r="AV15" s="119"/>
      <c r="AW15" s="120"/>
      <c r="AX15" s="118"/>
      <c r="AY15" s="119"/>
      <c r="AZ15" s="119"/>
      <c r="BA15" s="119"/>
      <c r="BB15" s="120"/>
      <c r="BC15" s="118"/>
      <c r="BD15" s="119"/>
      <c r="BE15" s="119"/>
      <c r="BF15" s="119"/>
      <c r="BG15" s="120"/>
      <c r="BH15" s="118"/>
      <c r="BI15" s="119"/>
      <c r="BJ15" s="119"/>
      <c r="BK15" s="119"/>
      <c r="BL15" s="120"/>
      <c r="BM15" s="115">
        <v>2.7099999999999999E-2</v>
      </c>
      <c r="BN15" s="116"/>
      <c r="BO15" s="116"/>
      <c r="BP15" s="116"/>
      <c r="BQ15" s="117"/>
      <c r="BR15" s="115">
        <v>33.33</v>
      </c>
      <c r="BS15" s="116"/>
      <c r="BT15" s="116"/>
      <c r="BU15" s="116"/>
      <c r="BV15" s="117"/>
      <c r="BW15" s="115">
        <v>2.7099999999999999E-2</v>
      </c>
      <c r="BX15" s="116"/>
      <c r="BY15" s="116"/>
      <c r="BZ15" s="116"/>
      <c r="CA15" s="117"/>
      <c r="CB15" s="115">
        <v>33.33</v>
      </c>
      <c r="CC15" s="116"/>
      <c r="CD15" s="116"/>
      <c r="CE15" s="116"/>
      <c r="CF15" s="117"/>
      <c r="CG15" s="118"/>
      <c r="CH15" s="119"/>
      <c r="CI15" s="119"/>
      <c r="CJ15" s="119"/>
      <c r="CK15" s="120"/>
      <c r="CL15" s="118"/>
      <c r="CM15" s="119"/>
      <c r="CN15" s="119"/>
      <c r="CO15" s="119"/>
      <c r="CP15" s="120"/>
      <c r="CQ15" s="118"/>
      <c r="CR15" s="119"/>
      <c r="CS15" s="119"/>
      <c r="CT15" s="119"/>
      <c r="CU15" s="120"/>
      <c r="CV15" s="118"/>
      <c r="CW15" s="119"/>
      <c r="CX15" s="119"/>
      <c r="CY15" s="119"/>
      <c r="CZ15" s="120"/>
      <c r="DA15" s="118"/>
      <c r="DB15" s="119"/>
      <c r="DC15" s="119"/>
      <c r="DD15" s="119"/>
      <c r="DE15" s="120"/>
      <c r="DF15" s="118"/>
      <c r="DG15" s="119"/>
      <c r="DH15" s="119"/>
      <c r="DI15" s="119"/>
      <c r="DJ15" s="187"/>
      <c r="DK15" s="66"/>
      <c r="DL15" s="140"/>
      <c r="DM15" s="141"/>
      <c r="DN15" s="141"/>
      <c r="DO15" s="141"/>
      <c r="DP15" s="141"/>
      <c r="DQ15" s="141"/>
      <c r="DR15" s="142"/>
      <c r="DS15" s="143"/>
      <c r="DT15" s="141"/>
      <c r="DU15" s="141"/>
      <c r="DV15" s="141"/>
      <c r="DW15" s="142"/>
      <c r="DX15" s="126"/>
      <c r="DY15" s="123"/>
      <c r="DZ15" s="123"/>
      <c r="EA15" s="123"/>
      <c r="EB15" s="124"/>
    </row>
    <row r="16" spans="1:132" x14ac:dyDescent="0.15">
      <c r="A16" s="53">
        <v>15</v>
      </c>
      <c r="B16" s="23"/>
      <c r="C16" s="145"/>
      <c r="D16" s="146"/>
      <c r="E16" s="146"/>
      <c r="F16" s="157"/>
      <c r="G16" s="122" t="s">
        <v>201</v>
      </c>
      <c r="H16" s="123"/>
      <c r="I16" s="123"/>
      <c r="J16" s="123"/>
      <c r="K16" s="123"/>
      <c r="L16" s="123"/>
      <c r="M16" s="123"/>
      <c r="N16" s="124"/>
      <c r="O16" s="188"/>
      <c r="P16" s="188"/>
      <c r="Q16" s="188"/>
      <c r="R16" s="188"/>
      <c r="S16" s="189"/>
      <c r="T16" s="190"/>
      <c r="U16" s="188"/>
      <c r="V16" s="188"/>
      <c r="W16" s="188"/>
      <c r="X16" s="189"/>
      <c r="Y16" s="190"/>
      <c r="Z16" s="188"/>
      <c r="AA16" s="188"/>
      <c r="AB16" s="188"/>
      <c r="AC16" s="189"/>
      <c r="AD16" s="190"/>
      <c r="AE16" s="188"/>
      <c r="AF16" s="188"/>
      <c r="AG16" s="188"/>
      <c r="AH16" s="189"/>
      <c r="AI16" s="118"/>
      <c r="AJ16" s="119"/>
      <c r="AK16" s="119"/>
      <c r="AL16" s="119"/>
      <c r="AM16" s="120"/>
      <c r="AN16" s="118"/>
      <c r="AO16" s="119"/>
      <c r="AP16" s="119"/>
      <c r="AQ16" s="119"/>
      <c r="AR16" s="120"/>
      <c r="AS16" s="118"/>
      <c r="AT16" s="119"/>
      <c r="AU16" s="119"/>
      <c r="AV16" s="119"/>
      <c r="AW16" s="120"/>
      <c r="AX16" s="118"/>
      <c r="AY16" s="119"/>
      <c r="AZ16" s="119"/>
      <c r="BA16" s="119"/>
      <c r="BB16" s="120"/>
      <c r="BC16" s="118"/>
      <c r="BD16" s="119"/>
      <c r="BE16" s="119"/>
      <c r="BF16" s="119"/>
      <c r="BG16" s="120"/>
      <c r="BH16" s="118"/>
      <c r="BI16" s="119"/>
      <c r="BJ16" s="119"/>
      <c r="BK16" s="119"/>
      <c r="BL16" s="120"/>
      <c r="BM16" s="118"/>
      <c r="BN16" s="119"/>
      <c r="BO16" s="119"/>
      <c r="BP16" s="119"/>
      <c r="BQ16" s="120"/>
      <c r="BR16" s="118"/>
      <c r="BS16" s="119"/>
      <c r="BT16" s="119"/>
      <c r="BU16" s="119"/>
      <c r="BV16" s="120"/>
      <c r="BW16" s="118"/>
      <c r="BX16" s="119"/>
      <c r="BY16" s="119"/>
      <c r="BZ16" s="119"/>
      <c r="CA16" s="120"/>
      <c r="CB16" s="118"/>
      <c r="CC16" s="119"/>
      <c r="CD16" s="119"/>
      <c r="CE16" s="119"/>
      <c r="CF16" s="120"/>
      <c r="CG16" s="115">
        <v>6.4999999999999997E-4</v>
      </c>
      <c r="CH16" s="116"/>
      <c r="CI16" s="116"/>
      <c r="CJ16" s="116"/>
      <c r="CK16" s="117"/>
      <c r="CL16" s="115">
        <v>0.26</v>
      </c>
      <c r="CM16" s="116"/>
      <c r="CN16" s="116"/>
      <c r="CO16" s="116"/>
      <c r="CP16" s="117"/>
      <c r="CQ16" s="115">
        <v>6.4999999999999997E-4</v>
      </c>
      <c r="CR16" s="116"/>
      <c r="CS16" s="116"/>
      <c r="CT16" s="116"/>
      <c r="CU16" s="117"/>
      <c r="CV16" s="115">
        <v>0.26</v>
      </c>
      <c r="CW16" s="116"/>
      <c r="CX16" s="116"/>
      <c r="CY16" s="116"/>
      <c r="CZ16" s="117"/>
      <c r="DA16" s="118"/>
      <c r="DB16" s="119"/>
      <c r="DC16" s="119"/>
      <c r="DD16" s="119"/>
      <c r="DE16" s="120"/>
      <c r="DF16" s="118"/>
      <c r="DG16" s="119"/>
      <c r="DH16" s="119"/>
      <c r="DI16" s="119"/>
      <c r="DJ16" s="187"/>
      <c r="DK16" s="66"/>
      <c r="DL16" s="140"/>
      <c r="DM16" s="141"/>
      <c r="DN16" s="141"/>
      <c r="DO16" s="141"/>
      <c r="DP16" s="141"/>
      <c r="DQ16" s="141"/>
      <c r="DR16" s="142"/>
      <c r="DS16" s="143"/>
      <c r="DT16" s="141"/>
      <c r="DU16" s="141"/>
      <c r="DV16" s="141"/>
      <c r="DW16" s="142"/>
      <c r="DX16" s="126"/>
      <c r="DY16" s="123"/>
      <c r="DZ16" s="123"/>
      <c r="EA16" s="123"/>
      <c r="EB16" s="124"/>
    </row>
    <row r="17" spans="1:135" x14ac:dyDescent="0.15">
      <c r="A17" s="52">
        <v>16</v>
      </c>
      <c r="B17" s="23"/>
      <c r="C17" s="145"/>
      <c r="D17" s="146"/>
      <c r="E17" s="146"/>
      <c r="F17" s="157"/>
      <c r="G17" s="122" t="s">
        <v>205</v>
      </c>
      <c r="H17" s="123"/>
      <c r="I17" s="123"/>
      <c r="J17" s="123"/>
      <c r="K17" s="123"/>
      <c r="L17" s="123"/>
      <c r="M17" s="123"/>
      <c r="N17" s="124"/>
      <c r="O17" s="188"/>
      <c r="P17" s="188"/>
      <c r="Q17" s="188"/>
      <c r="R17" s="188"/>
      <c r="S17" s="189"/>
      <c r="T17" s="190"/>
      <c r="U17" s="188"/>
      <c r="V17" s="188"/>
      <c r="W17" s="188"/>
      <c r="X17" s="189"/>
      <c r="Y17" s="190"/>
      <c r="Z17" s="188"/>
      <c r="AA17" s="188"/>
      <c r="AB17" s="188"/>
      <c r="AC17" s="189"/>
      <c r="AD17" s="190"/>
      <c r="AE17" s="188"/>
      <c r="AF17" s="188"/>
      <c r="AG17" s="188"/>
      <c r="AH17" s="189"/>
      <c r="AI17" s="118"/>
      <c r="AJ17" s="119"/>
      <c r="AK17" s="119"/>
      <c r="AL17" s="119"/>
      <c r="AM17" s="120"/>
      <c r="AN17" s="118"/>
      <c r="AO17" s="119"/>
      <c r="AP17" s="119"/>
      <c r="AQ17" s="119"/>
      <c r="AR17" s="120"/>
      <c r="AS17" s="118"/>
      <c r="AT17" s="119"/>
      <c r="AU17" s="119"/>
      <c r="AV17" s="119"/>
      <c r="AW17" s="120"/>
      <c r="AX17" s="118"/>
      <c r="AY17" s="119"/>
      <c r="AZ17" s="119"/>
      <c r="BA17" s="119"/>
      <c r="BB17" s="120"/>
      <c r="BC17" s="118"/>
      <c r="BD17" s="119"/>
      <c r="BE17" s="119"/>
      <c r="BF17" s="119"/>
      <c r="BG17" s="120"/>
      <c r="BH17" s="118"/>
      <c r="BI17" s="119"/>
      <c r="BJ17" s="119"/>
      <c r="BK17" s="119"/>
      <c r="BL17" s="120"/>
      <c r="BM17" s="118"/>
      <c r="BN17" s="119"/>
      <c r="BO17" s="119"/>
      <c r="BP17" s="119"/>
      <c r="BQ17" s="120"/>
      <c r="BR17" s="118"/>
      <c r="BS17" s="119"/>
      <c r="BT17" s="119"/>
      <c r="BU17" s="119"/>
      <c r="BV17" s="120"/>
      <c r="BW17" s="118"/>
      <c r="BX17" s="119"/>
      <c r="BY17" s="119"/>
      <c r="BZ17" s="119"/>
      <c r="CA17" s="120"/>
      <c r="CB17" s="118"/>
      <c r="CC17" s="119"/>
      <c r="CD17" s="119"/>
      <c r="CE17" s="119"/>
      <c r="CF17" s="120"/>
      <c r="CG17" s="118"/>
      <c r="CH17" s="119"/>
      <c r="CI17" s="119"/>
      <c r="CJ17" s="119"/>
      <c r="CK17" s="120"/>
      <c r="CL17" s="118"/>
      <c r="CM17" s="119"/>
      <c r="CN17" s="119"/>
      <c r="CO17" s="119"/>
      <c r="CP17" s="120"/>
      <c r="CQ17" s="118"/>
      <c r="CR17" s="119"/>
      <c r="CS17" s="119"/>
      <c r="CT17" s="119"/>
      <c r="CU17" s="120"/>
      <c r="CV17" s="118"/>
      <c r="CW17" s="119"/>
      <c r="CX17" s="119"/>
      <c r="CY17" s="119"/>
      <c r="CZ17" s="120"/>
      <c r="DA17" s="118"/>
      <c r="DB17" s="119"/>
      <c r="DC17" s="119"/>
      <c r="DD17" s="119"/>
      <c r="DE17" s="120"/>
      <c r="DF17" s="118"/>
      <c r="DG17" s="119"/>
      <c r="DH17" s="119"/>
      <c r="DI17" s="119"/>
      <c r="DJ17" s="187"/>
      <c r="DK17" s="66"/>
      <c r="DL17" s="140"/>
      <c r="DM17" s="141"/>
      <c r="DN17" s="141"/>
      <c r="DO17" s="141"/>
      <c r="DP17" s="141"/>
      <c r="DQ17" s="141"/>
      <c r="DR17" s="142"/>
      <c r="DS17" s="143"/>
      <c r="DT17" s="141"/>
      <c r="DU17" s="141"/>
      <c r="DV17" s="141"/>
      <c r="DW17" s="142"/>
      <c r="DX17" s="126"/>
      <c r="DY17" s="123"/>
      <c r="DZ17" s="123"/>
      <c r="EA17" s="123"/>
      <c r="EB17" s="124"/>
      <c r="EE17" s="75"/>
    </row>
    <row r="18" spans="1:135" x14ac:dyDescent="0.15">
      <c r="A18" s="53">
        <v>17</v>
      </c>
      <c r="B18" s="23"/>
      <c r="C18" s="47"/>
      <c r="D18" s="48"/>
      <c r="E18" s="48"/>
      <c r="F18" s="49"/>
      <c r="G18" s="122" t="s">
        <v>202</v>
      </c>
      <c r="H18" s="123"/>
      <c r="I18" s="123"/>
      <c r="J18" s="123"/>
      <c r="K18" s="123"/>
      <c r="L18" s="123"/>
      <c r="M18" s="123"/>
      <c r="N18" s="124"/>
      <c r="O18" s="188"/>
      <c r="P18" s="188"/>
      <c r="Q18" s="188"/>
      <c r="R18" s="188"/>
      <c r="S18" s="189"/>
      <c r="T18" s="190"/>
      <c r="U18" s="188"/>
      <c r="V18" s="188"/>
      <c r="W18" s="188"/>
      <c r="X18" s="189"/>
      <c r="Y18" s="190"/>
      <c r="Z18" s="188"/>
      <c r="AA18" s="188"/>
      <c r="AB18" s="188"/>
      <c r="AC18" s="189"/>
      <c r="AD18" s="190"/>
      <c r="AE18" s="188"/>
      <c r="AF18" s="188"/>
      <c r="AG18" s="188"/>
      <c r="AH18" s="189"/>
      <c r="AI18" s="118"/>
      <c r="AJ18" s="119"/>
      <c r="AK18" s="119"/>
      <c r="AL18" s="119"/>
      <c r="AM18" s="120"/>
      <c r="AN18" s="118"/>
      <c r="AO18" s="119"/>
      <c r="AP18" s="119"/>
      <c r="AQ18" s="119"/>
      <c r="AR18" s="120"/>
      <c r="AS18" s="118"/>
      <c r="AT18" s="119"/>
      <c r="AU18" s="119"/>
      <c r="AV18" s="119"/>
      <c r="AW18" s="120"/>
      <c r="AX18" s="118"/>
      <c r="AY18" s="119"/>
      <c r="AZ18" s="119"/>
      <c r="BA18" s="119"/>
      <c r="BB18" s="120"/>
      <c r="BC18" s="118"/>
      <c r="BD18" s="119"/>
      <c r="BE18" s="119"/>
      <c r="BF18" s="119"/>
      <c r="BG18" s="120"/>
      <c r="BH18" s="118"/>
      <c r="BI18" s="119"/>
      <c r="BJ18" s="119"/>
      <c r="BK18" s="119"/>
      <c r="BL18" s="120"/>
      <c r="BM18" s="118"/>
      <c r="BN18" s="119"/>
      <c r="BO18" s="119"/>
      <c r="BP18" s="119"/>
      <c r="BQ18" s="120"/>
      <c r="BR18" s="118"/>
      <c r="BS18" s="119"/>
      <c r="BT18" s="119"/>
      <c r="BU18" s="119"/>
      <c r="BV18" s="120"/>
      <c r="BW18" s="118"/>
      <c r="BX18" s="119"/>
      <c r="BY18" s="119"/>
      <c r="BZ18" s="119"/>
      <c r="CA18" s="120"/>
      <c r="CB18" s="118"/>
      <c r="CC18" s="119"/>
      <c r="CD18" s="119"/>
      <c r="CE18" s="119"/>
      <c r="CF18" s="120"/>
      <c r="CG18" s="118"/>
      <c r="CH18" s="119"/>
      <c r="CI18" s="119"/>
      <c r="CJ18" s="119"/>
      <c r="CK18" s="120"/>
      <c r="CL18" s="118"/>
      <c r="CM18" s="119"/>
      <c r="CN18" s="119"/>
      <c r="CO18" s="119"/>
      <c r="CP18" s="120"/>
      <c r="CQ18" s="118"/>
      <c r="CR18" s="119"/>
      <c r="CS18" s="119"/>
      <c r="CT18" s="119"/>
      <c r="CU18" s="120"/>
      <c r="CV18" s="118"/>
      <c r="CW18" s="119"/>
      <c r="CX18" s="119"/>
      <c r="CY18" s="119"/>
      <c r="CZ18" s="120"/>
      <c r="DA18" s="115">
        <v>62.5</v>
      </c>
      <c r="DB18" s="116"/>
      <c r="DC18" s="116"/>
      <c r="DD18" s="116"/>
      <c r="DE18" s="117"/>
      <c r="DF18" s="115">
        <v>74</v>
      </c>
      <c r="DG18" s="116"/>
      <c r="DH18" s="116"/>
      <c r="DI18" s="116"/>
      <c r="DJ18" s="186"/>
      <c r="DK18" s="66"/>
      <c r="DL18" s="140"/>
      <c r="DM18" s="141"/>
      <c r="DN18" s="141"/>
      <c r="DO18" s="141"/>
      <c r="DP18" s="141"/>
      <c r="DQ18" s="141"/>
      <c r="DR18" s="142"/>
      <c r="DS18" s="143"/>
      <c r="DT18" s="141"/>
      <c r="DU18" s="141"/>
      <c r="DV18" s="141"/>
      <c r="DW18" s="142"/>
      <c r="DX18" s="126"/>
      <c r="DY18" s="123"/>
      <c r="DZ18" s="123"/>
      <c r="EA18" s="123"/>
      <c r="EB18" s="124"/>
      <c r="EE18" s="75"/>
    </row>
    <row r="19" spans="1:135" x14ac:dyDescent="0.15">
      <c r="A19" s="53"/>
      <c r="B19" s="23"/>
      <c r="C19" s="47"/>
      <c r="D19" s="48"/>
      <c r="E19" s="48"/>
      <c r="F19" s="49"/>
      <c r="G19" s="109" t="s">
        <v>209</v>
      </c>
      <c r="H19" s="110"/>
      <c r="I19" s="110"/>
      <c r="J19" s="110"/>
      <c r="K19" s="110"/>
      <c r="L19" s="110"/>
      <c r="M19" s="110"/>
      <c r="N19" s="111"/>
      <c r="O19" s="98"/>
      <c r="P19" s="98"/>
      <c r="Q19" s="98"/>
      <c r="R19" s="98"/>
      <c r="S19" s="99"/>
      <c r="T19" s="100"/>
      <c r="U19" s="98"/>
      <c r="V19" s="98"/>
      <c r="W19" s="98"/>
      <c r="X19" s="99"/>
      <c r="Y19" s="100"/>
      <c r="Z19" s="98"/>
      <c r="AA19" s="98"/>
      <c r="AB19" s="98"/>
      <c r="AC19" s="99"/>
      <c r="AD19" s="100"/>
      <c r="AE19" s="98"/>
      <c r="AF19" s="98"/>
      <c r="AG19" s="98"/>
      <c r="AH19" s="99"/>
      <c r="AI19" s="95"/>
      <c r="AJ19" s="96"/>
      <c r="AK19" s="96"/>
      <c r="AL19" s="96"/>
      <c r="AM19" s="97"/>
      <c r="AN19" s="95"/>
      <c r="AO19" s="96"/>
      <c r="AP19" s="96"/>
      <c r="AQ19" s="96"/>
      <c r="AR19" s="97"/>
      <c r="AS19" s="95"/>
      <c r="AT19" s="96"/>
      <c r="AU19" s="96"/>
      <c r="AV19" s="96"/>
      <c r="AW19" s="97"/>
      <c r="AX19" s="95"/>
      <c r="AY19" s="96"/>
      <c r="AZ19" s="96"/>
      <c r="BA19" s="96"/>
      <c r="BB19" s="97"/>
      <c r="BC19" s="95"/>
      <c r="BD19" s="96"/>
      <c r="BE19" s="96"/>
      <c r="BF19" s="96"/>
      <c r="BG19" s="97"/>
      <c r="BH19" s="95"/>
      <c r="BI19" s="96"/>
      <c r="BJ19" s="96"/>
      <c r="BK19" s="96"/>
      <c r="BL19" s="97"/>
      <c r="BM19" s="95"/>
      <c r="BN19" s="96"/>
      <c r="BO19" s="96"/>
      <c r="BP19" s="96"/>
      <c r="BQ19" s="97"/>
      <c r="BR19" s="95"/>
      <c r="BS19" s="96"/>
      <c r="BT19" s="96"/>
      <c r="BU19" s="96"/>
      <c r="BV19" s="97"/>
      <c r="BW19" s="95"/>
      <c r="BX19" s="96"/>
      <c r="BY19" s="96"/>
      <c r="BZ19" s="96"/>
      <c r="CA19" s="97"/>
      <c r="CB19" s="95"/>
      <c r="CC19" s="96"/>
      <c r="CD19" s="96"/>
      <c r="CE19" s="96"/>
      <c r="CF19" s="97"/>
      <c r="CG19" s="95"/>
      <c r="CH19" s="96"/>
      <c r="CI19" s="96"/>
      <c r="CJ19" s="96"/>
      <c r="CK19" s="97"/>
      <c r="CL19" s="95"/>
      <c r="CM19" s="96"/>
      <c r="CN19" s="96"/>
      <c r="CO19" s="96"/>
      <c r="CP19" s="97"/>
      <c r="CQ19" s="95"/>
      <c r="CR19" s="96"/>
      <c r="CS19" s="96"/>
      <c r="CT19" s="96"/>
      <c r="CU19" s="97"/>
      <c r="CV19" s="95"/>
      <c r="CW19" s="96"/>
      <c r="CX19" s="96"/>
      <c r="CY19" s="96"/>
      <c r="CZ19" s="97"/>
      <c r="DA19" s="91"/>
      <c r="DB19" s="92"/>
      <c r="DC19" s="92"/>
      <c r="DD19" s="92"/>
      <c r="DE19" s="93"/>
      <c r="DF19" s="91"/>
      <c r="DG19" s="92"/>
      <c r="DH19" s="92"/>
      <c r="DI19" s="92"/>
      <c r="DJ19" s="94"/>
      <c r="DK19" s="66"/>
      <c r="DL19" s="102"/>
      <c r="DM19" s="103"/>
      <c r="DN19" s="103"/>
      <c r="DO19" s="103"/>
      <c r="DP19" s="103"/>
      <c r="DQ19" s="103"/>
      <c r="DR19" s="104"/>
      <c r="DS19" s="105"/>
      <c r="DT19" s="103"/>
      <c r="DU19" s="103"/>
      <c r="DV19" s="103"/>
      <c r="DW19" s="104"/>
      <c r="DX19" s="101"/>
      <c r="DY19" s="101"/>
      <c r="DZ19" s="101"/>
      <c r="EA19" s="101"/>
      <c r="EB19" s="61"/>
      <c r="EE19" s="75"/>
    </row>
    <row r="20" spans="1:135" x14ac:dyDescent="0.15">
      <c r="A20" s="53">
        <v>23</v>
      </c>
      <c r="B20" s="23"/>
      <c r="C20" s="145"/>
      <c r="D20" s="146"/>
      <c r="E20" s="146"/>
      <c r="F20" s="157"/>
      <c r="G20" s="125" t="s">
        <v>28</v>
      </c>
      <c r="H20" s="125"/>
      <c r="I20" s="125"/>
      <c r="J20" s="125"/>
      <c r="K20" s="125"/>
      <c r="L20" s="125"/>
      <c r="M20" s="125"/>
      <c r="N20" s="125"/>
      <c r="O20" s="143">
        <f t="shared" ref="O20" si="0">SUM(O11:S19)</f>
        <v>3.6700000000000001E-3</v>
      </c>
      <c r="P20" s="141"/>
      <c r="Q20" s="141"/>
      <c r="R20" s="141"/>
      <c r="S20" s="142"/>
      <c r="T20" s="143">
        <f t="shared" ref="T20" si="1">SUM(T11:X19)</f>
        <v>6.25</v>
      </c>
      <c r="U20" s="141"/>
      <c r="V20" s="141"/>
      <c r="W20" s="141"/>
      <c r="X20" s="142"/>
      <c r="Y20" s="143">
        <f t="shared" ref="Y20" si="2">SUM(Y11:AC19)</f>
        <v>3.6700000000000001E-3</v>
      </c>
      <c r="Z20" s="141"/>
      <c r="AA20" s="141"/>
      <c r="AB20" s="141"/>
      <c r="AC20" s="142"/>
      <c r="AD20" s="143">
        <f t="shared" ref="AD20" si="3">SUM(AD11:AH19)</f>
        <v>6.25</v>
      </c>
      <c r="AE20" s="141"/>
      <c r="AF20" s="141"/>
      <c r="AG20" s="141"/>
      <c r="AH20" s="142"/>
      <c r="AI20" s="143">
        <f t="shared" ref="AI20" si="4">SUM(AI11:AM19)</f>
        <v>125.1275</v>
      </c>
      <c r="AJ20" s="141"/>
      <c r="AK20" s="141"/>
      <c r="AL20" s="141"/>
      <c r="AM20" s="142"/>
      <c r="AN20" s="143">
        <f t="shared" ref="AN20" si="5">SUM(AN11:AR19)</f>
        <v>125127.5</v>
      </c>
      <c r="AO20" s="141"/>
      <c r="AP20" s="141"/>
      <c r="AQ20" s="141"/>
      <c r="AR20" s="142"/>
      <c r="AS20" s="143">
        <f t="shared" ref="AS20" si="6">SUM(AS11:AW19)</f>
        <v>125.1275</v>
      </c>
      <c r="AT20" s="141"/>
      <c r="AU20" s="141"/>
      <c r="AV20" s="141"/>
      <c r="AW20" s="142"/>
      <c r="AX20" s="143">
        <f t="shared" ref="AX20" si="7">SUM(AX11:BB19)</f>
        <v>125127.5</v>
      </c>
      <c r="AY20" s="141"/>
      <c r="AZ20" s="141"/>
      <c r="BA20" s="141"/>
      <c r="BB20" s="142"/>
      <c r="BC20" s="143">
        <f t="shared" ref="BC20" si="8">SUM(BC11:BG19)</f>
        <v>125.13117</v>
      </c>
      <c r="BD20" s="141"/>
      <c r="BE20" s="141"/>
      <c r="BF20" s="141"/>
      <c r="BG20" s="142"/>
      <c r="BH20" s="143">
        <f t="shared" ref="BH20" si="9">SUM(BH11:BL19)</f>
        <v>125133.75</v>
      </c>
      <c r="BI20" s="141"/>
      <c r="BJ20" s="141"/>
      <c r="BK20" s="141"/>
      <c r="BL20" s="142"/>
      <c r="BM20" s="143">
        <f t="shared" ref="BM20" si="10">SUM(BM11:BQ19)</f>
        <v>5.4199999999999998E-2</v>
      </c>
      <c r="BN20" s="141"/>
      <c r="BO20" s="141"/>
      <c r="BP20" s="141"/>
      <c r="BQ20" s="142"/>
      <c r="BR20" s="143">
        <f t="shared" ref="BR20" si="11">SUM(BR11:BV19)</f>
        <v>66.66</v>
      </c>
      <c r="BS20" s="141"/>
      <c r="BT20" s="141"/>
      <c r="BU20" s="141"/>
      <c r="BV20" s="142"/>
      <c r="BW20" s="143">
        <f t="shared" ref="BW20" si="12">SUM(BW11:CA19)</f>
        <v>5.4199999999999998E-2</v>
      </c>
      <c r="BX20" s="141"/>
      <c r="BY20" s="141"/>
      <c r="BZ20" s="141"/>
      <c r="CA20" s="142"/>
      <c r="CB20" s="143">
        <f t="shared" ref="CB20" si="13">SUM(CB11:CF19)</f>
        <v>66.66</v>
      </c>
      <c r="CC20" s="141"/>
      <c r="CD20" s="141"/>
      <c r="CE20" s="141"/>
      <c r="CF20" s="142"/>
      <c r="CG20" s="143">
        <f t="shared" ref="CG20" si="14">SUM(CG11:CK19)</f>
        <v>2.99E-3</v>
      </c>
      <c r="CH20" s="141"/>
      <c r="CI20" s="141"/>
      <c r="CJ20" s="141"/>
      <c r="CK20" s="142"/>
      <c r="CL20" s="143">
        <f t="shared" ref="CL20" si="15">SUM(CL11:CP19)</f>
        <v>1.2</v>
      </c>
      <c r="CM20" s="141"/>
      <c r="CN20" s="141"/>
      <c r="CO20" s="141"/>
      <c r="CP20" s="142"/>
      <c r="CQ20" s="143">
        <f t="shared" ref="CQ20" si="16">SUM(CQ11:CU19)</f>
        <v>2.99E-3</v>
      </c>
      <c r="CR20" s="141"/>
      <c r="CS20" s="141"/>
      <c r="CT20" s="141"/>
      <c r="CU20" s="142"/>
      <c r="CV20" s="143">
        <f t="shared" ref="CV20" si="17">SUM(CV11:CZ19)</f>
        <v>1.2</v>
      </c>
      <c r="CW20" s="141"/>
      <c r="CX20" s="141"/>
      <c r="CY20" s="141"/>
      <c r="CZ20" s="142"/>
      <c r="DA20" s="143">
        <f t="shared" ref="DA20" si="18">SUM(DA11:DE19)</f>
        <v>62.5</v>
      </c>
      <c r="DB20" s="141"/>
      <c r="DC20" s="141"/>
      <c r="DD20" s="141"/>
      <c r="DE20" s="142"/>
      <c r="DF20" s="143">
        <f>SUM(DF11:DJ19)</f>
        <v>74</v>
      </c>
      <c r="DG20" s="141"/>
      <c r="DH20" s="141"/>
      <c r="DI20" s="141"/>
      <c r="DJ20" s="162"/>
      <c r="DK20" s="66"/>
      <c r="DL20" s="140"/>
      <c r="DM20" s="141"/>
      <c r="DN20" s="141"/>
      <c r="DO20" s="141"/>
      <c r="DP20" s="141"/>
      <c r="DQ20" s="141"/>
      <c r="DR20" s="142"/>
      <c r="DS20" s="143"/>
      <c r="DT20" s="141"/>
      <c r="DU20" s="141"/>
      <c r="DV20" s="141"/>
      <c r="DW20" s="142"/>
      <c r="DX20" s="126"/>
      <c r="DY20" s="123"/>
      <c r="DZ20" s="123"/>
      <c r="EA20" s="123"/>
      <c r="EB20" s="124"/>
    </row>
    <row r="21" spans="1:135" x14ac:dyDescent="0.15">
      <c r="A21" s="53">
        <v>24</v>
      </c>
      <c r="B21" s="23"/>
      <c r="C21" s="145"/>
      <c r="D21" s="146"/>
      <c r="E21" s="146"/>
      <c r="F21" s="157"/>
      <c r="G21" s="125" t="s">
        <v>203</v>
      </c>
      <c r="H21" s="125"/>
      <c r="I21" s="125"/>
      <c r="J21" s="125"/>
      <c r="K21" s="125"/>
      <c r="L21" s="125"/>
      <c r="M21" s="125"/>
      <c r="N21" s="125"/>
      <c r="O21" s="123">
        <v>1</v>
      </c>
      <c r="P21" s="123"/>
      <c r="Q21" s="123"/>
      <c r="R21" s="123"/>
      <c r="S21" s="123"/>
      <c r="T21" s="123"/>
      <c r="U21" s="123"/>
      <c r="V21" s="123"/>
      <c r="W21" s="123"/>
      <c r="X21" s="144"/>
      <c r="Y21" s="126">
        <v>3</v>
      </c>
      <c r="Z21" s="123"/>
      <c r="AA21" s="123"/>
      <c r="AB21" s="123"/>
      <c r="AC21" s="123"/>
      <c r="AD21" s="123"/>
      <c r="AE21" s="123"/>
      <c r="AF21" s="123"/>
      <c r="AG21" s="123"/>
      <c r="AH21" s="144"/>
      <c r="AI21" s="126">
        <v>1</v>
      </c>
      <c r="AJ21" s="123"/>
      <c r="AK21" s="123"/>
      <c r="AL21" s="123"/>
      <c r="AM21" s="123"/>
      <c r="AN21" s="123"/>
      <c r="AO21" s="123"/>
      <c r="AP21" s="123"/>
      <c r="AQ21" s="123"/>
      <c r="AR21" s="144"/>
      <c r="AS21" s="126">
        <v>2</v>
      </c>
      <c r="AT21" s="123"/>
      <c r="AU21" s="123"/>
      <c r="AV21" s="123"/>
      <c r="AW21" s="123"/>
      <c r="AX21" s="123"/>
      <c r="AY21" s="123"/>
      <c r="AZ21" s="123"/>
      <c r="BA21" s="123"/>
      <c r="BB21" s="144"/>
      <c r="BC21" s="126">
        <v>1</v>
      </c>
      <c r="BD21" s="123"/>
      <c r="BE21" s="123"/>
      <c r="BF21" s="123"/>
      <c r="BG21" s="123"/>
      <c r="BH21" s="123"/>
      <c r="BI21" s="123"/>
      <c r="BJ21" s="123"/>
      <c r="BK21" s="123"/>
      <c r="BL21" s="144"/>
      <c r="BM21" s="126">
        <v>1</v>
      </c>
      <c r="BN21" s="123"/>
      <c r="BO21" s="123"/>
      <c r="BP21" s="123"/>
      <c r="BQ21" s="123"/>
      <c r="BR21" s="123"/>
      <c r="BS21" s="123"/>
      <c r="BT21" s="123"/>
      <c r="BU21" s="123"/>
      <c r="BV21" s="144"/>
      <c r="BW21" s="151">
        <v>2</v>
      </c>
      <c r="BX21" s="152"/>
      <c r="BY21" s="152"/>
      <c r="BZ21" s="152"/>
      <c r="CA21" s="152"/>
      <c r="CB21" s="152"/>
      <c r="CC21" s="152"/>
      <c r="CD21" s="152"/>
      <c r="CE21" s="152"/>
      <c r="CF21" s="153"/>
      <c r="CG21" s="151">
        <v>1</v>
      </c>
      <c r="CH21" s="152"/>
      <c r="CI21" s="152"/>
      <c r="CJ21" s="152"/>
      <c r="CK21" s="152"/>
      <c r="CL21" s="152"/>
      <c r="CM21" s="152"/>
      <c r="CN21" s="152"/>
      <c r="CO21" s="152"/>
      <c r="CP21" s="153"/>
      <c r="CQ21" s="151">
        <v>2</v>
      </c>
      <c r="CR21" s="152"/>
      <c r="CS21" s="152"/>
      <c r="CT21" s="152"/>
      <c r="CU21" s="152"/>
      <c r="CV21" s="152"/>
      <c r="CW21" s="152"/>
      <c r="CX21" s="152"/>
      <c r="CY21" s="152"/>
      <c r="CZ21" s="153"/>
      <c r="DA21" s="151">
        <v>1.5</v>
      </c>
      <c r="DB21" s="152"/>
      <c r="DC21" s="152"/>
      <c r="DD21" s="152"/>
      <c r="DE21" s="152"/>
      <c r="DF21" s="184"/>
      <c r="DG21" s="184"/>
      <c r="DH21" s="184"/>
      <c r="DI21" s="184"/>
      <c r="DJ21" s="185"/>
      <c r="DK21" s="66"/>
      <c r="DL21" s="140"/>
      <c r="DM21" s="141"/>
      <c r="DN21" s="141"/>
      <c r="DO21" s="141"/>
      <c r="DP21" s="141"/>
      <c r="DQ21" s="141"/>
      <c r="DR21" s="142"/>
      <c r="DS21" s="143"/>
      <c r="DT21" s="141"/>
      <c r="DU21" s="141"/>
      <c r="DV21" s="141"/>
      <c r="DW21" s="142"/>
      <c r="DX21" s="126"/>
      <c r="DY21" s="123"/>
      <c r="DZ21" s="123"/>
      <c r="EA21" s="123"/>
      <c r="EB21" s="124"/>
    </row>
    <row r="22" spans="1:135" x14ac:dyDescent="0.15">
      <c r="A22" s="53">
        <v>25</v>
      </c>
      <c r="B22" s="23"/>
      <c r="C22" s="145"/>
      <c r="D22" s="146"/>
      <c r="E22" s="146"/>
      <c r="F22" s="157"/>
      <c r="G22" s="125" t="s">
        <v>183</v>
      </c>
      <c r="H22" s="125"/>
      <c r="I22" s="125"/>
      <c r="J22" s="125"/>
      <c r="K22" s="125"/>
      <c r="L22" s="125"/>
      <c r="M22" s="125"/>
      <c r="N22" s="125"/>
      <c r="O22" s="182">
        <v>25</v>
      </c>
      <c r="P22" s="182"/>
      <c r="Q22" s="182"/>
      <c r="R22" s="182"/>
      <c r="S22" s="182"/>
      <c r="T22" s="182"/>
      <c r="U22" s="182"/>
      <c r="V22" s="182"/>
      <c r="W22" s="182"/>
      <c r="X22" s="183"/>
      <c r="Y22" s="126">
        <v>25</v>
      </c>
      <c r="Z22" s="123"/>
      <c r="AA22" s="123"/>
      <c r="AB22" s="123"/>
      <c r="AC22" s="123"/>
      <c r="AD22" s="123"/>
      <c r="AE22" s="123"/>
      <c r="AF22" s="123"/>
      <c r="AG22" s="123"/>
      <c r="AH22" s="144"/>
      <c r="AI22" s="126">
        <v>30</v>
      </c>
      <c r="AJ22" s="123"/>
      <c r="AK22" s="123"/>
      <c r="AL22" s="123"/>
      <c r="AM22" s="123"/>
      <c r="AN22" s="123"/>
      <c r="AO22" s="123"/>
      <c r="AP22" s="123"/>
      <c r="AQ22" s="123"/>
      <c r="AR22" s="144"/>
      <c r="AS22" s="126">
        <v>30</v>
      </c>
      <c r="AT22" s="123"/>
      <c r="AU22" s="123"/>
      <c r="AV22" s="123"/>
      <c r="AW22" s="123"/>
      <c r="AX22" s="123"/>
      <c r="AY22" s="123"/>
      <c r="AZ22" s="123"/>
      <c r="BA22" s="123"/>
      <c r="BB22" s="144"/>
      <c r="BC22" s="126">
        <v>30</v>
      </c>
      <c r="BD22" s="123"/>
      <c r="BE22" s="123"/>
      <c r="BF22" s="123"/>
      <c r="BG22" s="123"/>
      <c r="BH22" s="123"/>
      <c r="BI22" s="123"/>
      <c r="BJ22" s="123"/>
      <c r="BK22" s="123"/>
      <c r="BL22" s="144"/>
      <c r="BM22" s="126">
        <v>25</v>
      </c>
      <c r="BN22" s="123"/>
      <c r="BO22" s="123"/>
      <c r="BP22" s="123"/>
      <c r="BQ22" s="123"/>
      <c r="BR22" s="123"/>
      <c r="BS22" s="123"/>
      <c r="BT22" s="123"/>
      <c r="BU22" s="123"/>
      <c r="BV22" s="144"/>
      <c r="BW22" s="151">
        <v>25</v>
      </c>
      <c r="BX22" s="152"/>
      <c r="BY22" s="152"/>
      <c r="BZ22" s="152"/>
      <c r="CA22" s="152"/>
      <c r="CB22" s="152"/>
      <c r="CC22" s="152"/>
      <c r="CD22" s="152"/>
      <c r="CE22" s="152"/>
      <c r="CF22" s="153"/>
      <c r="CG22" s="126">
        <v>25</v>
      </c>
      <c r="CH22" s="123"/>
      <c r="CI22" s="123"/>
      <c r="CJ22" s="123"/>
      <c r="CK22" s="123"/>
      <c r="CL22" s="123"/>
      <c r="CM22" s="123"/>
      <c r="CN22" s="123"/>
      <c r="CO22" s="123"/>
      <c r="CP22" s="144"/>
      <c r="CQ22" s="126">
        <v>25</v>
      </c>
      <c r="CR22" s="123"/>
      <c r="CS22" s="123"/>
      <c r="CT22" s="123"/>
      <c r="CU22" s="123"/>
      <c r="CV22" s="123"/>
      <c r="CW22" s="123"/>
      <c r="CX22" s="123"/>
      <c r="CY22" s="123"/>
      <c r="CZ22" s="144"/>
      <c r="DA22" s="126">
        <v>25</v>
      </c>
      <c r="DB22" s="123"/>
      <c r="DC22" s="123"/>
      <c r="DD22" s="123"/>
      <c r="DE22" s="123"/>
      <c r="DF22" s="123"/>
      <c r="DG22" s="123"/>
      <c r="DH22" s="123"/>
      <c r="DI22" s="123"/>
      <c r="DJ22" s="124"/>
      <c r="DK22" s="66"/>
      <c r="DL22" s="140"/>
      <c r="DM22" s="141"/>
      <c r="DN22" s="141"/>
      <c r="DO22" s="141"/>
      <c r="DP22" s="141"/>
      <c r="DQ22" s="141"/>
      <c r="DR22" s="142"/>
      <c r="DS22" s="143"/>
      <c r="DT22" s="141"/>
      <c r="DU22" s="141"/>
      <c r="DV22" s="141"/>
      <c r="DW22" s="142"/>
      <c r="DX22" s="126"/>
      <c r="DY22" s="123"/>
      <c r="DZ22" s="123"/>
      <c r="EA22" s="123"/>
      <c r="EB22" s="124"/>
    </row>
    <row r="23" spans="1:135" x14ac:dyDescent="0.15">
      <c r="A23" s="52">
        <v>26</v>
      </c>
      <c r="B23" s="23"/>
      <c r="C23" s="145"/>
      <c r="D23" s="146"/>
      <c r="E23" s="146"/>
      <c r="F23" s="146"/>
      <c r="G23" s="125" t="s">
        <v>182</v>
      </c>
      <c r="H23" s="125"/>
      <c r="I23" s="125"/>
      <c r="J23" s="125"/>
      <c r="K23" s="125"/>
      <c r="L23" s="125"/>
      <c r="M23" s="125"/>
      <c r="N23" s="125"/>
      <c r="O23" s="109">
        <v>34.5</v>
      </c>
      <c r="P23" s="110"/>
      <c r="Q23" s="110"/>
      <c r="R23" s="110"/>
      <c r="S23" s="110"/>
      <c r="T23" s="110"/>
      <c r="U23" s="110"/>
      <c r="V23" s="110"/>
      <c r="W23" s="110"/>
      <c r="X23" s="128"/>
      <c r="Y23" s="154">
        <v>34.5</v>
      </c>
      <c r="Z23" s="155"/>
      <c r="AA23" s="155"/>
      <c r="AB23" s="155"/>
      <c r="AC23" s="155"/>
      <c r="AD23" s="155"/>
      <c r="AE23" s="155"/>
      <c r="AF23" s="155"/>
      <c r="AG23" s="155"/>
      <c r="AH23" s="158"/>
      <c r="AI23" s="154">
        <v>125.4</v>
      </c>
      <c r="AJ23" s="155"/>
      <c r="AK23" s="155"/>
      <c r="AL23" s="155"/>
      <c r="AM23" s="155"/>
      <c r="AN23" s="155"/>
      <c r="AO23" s="155"/>
      <c r="AP23" s="155"/>
      <c r="AQ23" s="155"/>
      <c r="AR23" s="158"/>
      <c r="AS23" s="154">
        <v>125.4</v>
      </c>
      <c r="AT23" s="155"/>
      <c r="AU23" s="155"/>
      <c r="AV23" s="155"/>
      <c r="AW23" s="155"/>
      <c r="AX23" s="155"/>
      <c r="AY23" s="155"/>
      <c r="AZ23" s="155"/>
      <c r="BA23" s="155"/>
      <c r="BB23" s="158"/>
      <c r="BC23" s="154">
        <v>125.4</v>
      </c>
      <c r="BD23" s="155"/>
      <c r="BE23" s="155"/>
      <c r="BF23" s="155"/>
      <c r="BG23" s="155"/>
      <c r="BH23" s="155"/>
      <c r="BI23" s="155"/>
      <c r="BJ23" s="155"/>
      <c r="BK23" s="155"/>
      <c r="BL23" s="158"/>
      <c r="BM23" s="154">
        <v>87.5</v>
      </c>
      <c r="BN23" s="155"/>
      <c r="BO23" s="155"/>
      <c r="BP23" s="155"/>
      <c r="BQ23" s="155"/>
      <c r="BR23" s="155"/>
      <c r="BS23" s="155"/>
      <c r="BT23" s="155"/>
      <c r="BU23" s="155"/>
      <c r="BV23" s="158"/>
      <c r="BW23" s="154">
        <v>87.5</v>
      </c>
      <c r="BX23" s="155"/>
      <c r="BY23" s="155"/>
      <c r="BZ23" s="155"/>
      <c r="CA23" s="155"/>
      <c r="CB23" s="155"/>
      <c r="CC23" s="155"/>
      <c r="CD23" s="155"/>
      <c r="CE23" s="155"/>
      <c r="CF23" s="158"/>
      <c r="CG23" s="154">
        <v>83.5</v>
      </c>
      <c r="CH23" s="155"/>
      <c r="CI23" s="155"/>
      <c r="CJ23" s="155"/>
      <c r="CK23" s="155"/>
      <c r="CL23" s="155"/>
      <c r="CM23" s="155"/>
      <c r="CN23" s="155"/>
      <c r="CO23" s="155"/>
      <c r="CP23" s="158"/>
      <c r="CQ23" s="179">
        <v>83.5</v>
      </c>
      <c r="CR23" s="180"/>
      <c r="CS23" s="180"/>
      <c r="CT23" s="180"/>
      <c r="CU23" s="180"/>
      <c r="CV23" s="180"/>
      <c r="CW23" s="180"/>
      <c r="CX23" s="180"/>
      <c r="CY23" s="180"/>
      <c r="CZ23" s="181"/>
      <c r="DA23" s="154">
        <v>25.25</v>
      </c>
      <c r="DB23" s="155"/>
      <c r="DC23" s="155"/>
      <c r="DD23" s="155"/>
      <c r="DE23" s="155"/>
      <c r="DF23" s="155"/>
      <c r="DG23" s="155"/>
      <c r="DH23" s="155"/>
      <c r="DI23" s="155"/>
      <c r="DJ23" s="156"/>
      <c r="DK23" s="66"/>
      <c r="DL23" s="140"/>
      <c r="DM23" s="141"/>
      <c r="DN23" s="141"/>
      <c r="DO23" s="141"/>
      <c r="DP23" s="141"/>
      <c r="DQ23" s="141"/>
      <c r="DR23" s="142"/>
      <c r="DS23" s="143"/>
      <c r="DT23" s="141"/>
      <c r="DU23" s="141"/>
      <c r="DV23" s="141"/>
      <c r="DW23" s="142"/>
      <c r="DX23" s="126"/>
      <c r="DY23" s="123"/>
      <c r="DZ23" s="123"/>
      <c r="EA23" s="123"/>
      <c r="EB23" s="124"/>
      <c r="EE23" s="67"/>
    </row>
    <row r="24" spans="1:135" x14ac:dyDescent="0.15">
      <c r="A24" s="53">
        <v>27</v>
      </c>
      <c r="B24" s="23"/>
      <c r="C24" s="145"/>
      <c r="D24" s="146"/>
      <c r="E24" s="146"/>
      <c r="F24" s="157"/>
      <c r="G24" s="21"/>
      <c r="H24" s="62"/>
      <c r="I24" s="62"/>
      <c r="J24" s="62"/>
      <c r="K24" s="62"/>
      <c r="L24" s="62"/>
      <c r="M24" s="62"/>
      <c r="N24" s="64"/>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10"/>
      <c r="BB24" s="62"/>
      <c r="BC24" s="62"/>
      <c r="BD24" s="62"/>
      <c r="BE24" s="62"/>
      <c r="BF24" s="62"/>
      <c r="BG24" s="62"/>
      <c r="BH24" s="62"/>
      <c r="BI24" s="62"/>
      <c r="BJ24" s="62"/>
      <c r="BK24" s="62"/>
      <c r="BL24" s="62"/>
      <c r="BM24" s="62"/>
      <c r="BN24" s="62"/>
      <c r="BO24" s="62"/>
      <c r="BP24" s="62"/>
      <c r="BQ24" s="62"/>
      <c r="BR24" s="62"/>
      <c r="BS24" s="62"/>
      <c r="BT24" s="62"/>
      <c r="BU24" s="62"/>
      <c r="BV24" s="62"/>
      <c r="BW24" s="62"/>
      <c r="BX24" s="62"/>
      <c r="BY24" s="62"/>
      <c r="BZ24" s="62"/>
      <c r="CA24" s="62"/>
      <c r="CB24" s="62"/>
      <c r="CC24" s="62"/>
      <c r="CD24" s="62"/>
      <c r="CE24" s="62"/>
      <c r="CF24" s="62"/>
      <c r="CG24" s="62"/>
      <c r="CH24" s="62"/>
      <c r="CI24" s="62"/>
      <c r="CJ24" s="62"/>
      <c r="CK24" s="62"/>
      <c r="CL24" s="62"/>
      <c r="CM24" s="62"/>
      <c r="CN24" s="62"/>
      <c r="CO24" s="62"/>
      <c r="CP24" s="62"/>
      <c r="CQ24" s="62"/>
      <c r="CR24" s="62"/>
      <c r="CS24" s="62"/>
      <c r="CT24" s="62"/>
      <c r="CU24" s="62"/>
      <c r="CV24" s="62"/>
      <c r="CW24" s="62"/>
      <c r="CX24" s="62"/>
      <c r="CY24" s="62"/>
      <c r="CZ24" s="62"/>
      <c r="DA24" s="62"/>
      <c r="DB24" s="62"/>
      <c r="DC24" s="62"/>
      <c r="DD24" s="62"/>
      <c r="DE24" s="62"/>
      <c r="DF24" s="62"/>
      <c r="DG24" s="62"/>
      <c r="DH24" s="62"/>
      <c r="DI24" s="62"/>
      <c r="DJ24" s="62"/>
      <c r="DK24" s="57"/>
      <c r="DL24" s="140"/>
      <c r="DM24" s="141"/>
      <c r="DN24" s="141"/>
      <c r="DO24" s="141"/>
      <c r="DP24" s="141"/>
      <c r="DQ24" s="141"/>
      <c r="DR24" s="142"/>
      <c r="DS24" s="143"/>
      <c r="DT24" s="141"/>
      <c r="DU24" s="141"/>
      <c r="DV24" s="141"/>
      <c r="DW24" s="142"/>
      <c r="DX24" s="126"/>
      <c r="DY24" s="123"/>
      <c r="DZ24" s="123"/>
      <c r="EA24" s="123"/>
      <c r="EB24" s="124"/>
    </row>
    <row r="25" spans="1:135" x14ac:dyDescent="0.15">
      <c r="A25" s="53">
        <v>28</v>
      </c>
      <c r="B25" s="23"/>
      <c r="C25" s="145"/>
      <c r="D25" s="146"/>
      <c r="E25" s="146"/>
      <c r="F25" s="157"/>
      <c r="G25" s="125" t="s">
        <v>208</v>
      </c>
      <c r="H25" s="125"/>
      <c r="I25" s="125"/>
      <c r="J25" s="125"/>
      <c r="K25" s="125"/>
      <c r="L25" s="125"/>
      <c r="M25" s="125"/>
      <c r="N25" s="125"/>
      <c r="O25" s="176">
        <v>11</v>
      </c>
      <c r="P25" s="176"/>
      <c r="Q25" s="176"/>
      <c r="R25" s="176"/>
      <c r="S25" s="176"/>
      <c r="T25" s="176"/>
      <c r="U25" s="176"/>
      <c r="V25" s="176"/>
      <c r="W25" s="176"/>
      <c r="X25" s="177"/>
      <c r="Y25" s="149">
        <v>12</v>
      </c>
      <c r="Z25" s="148"/>
      <c r="AA25" s="148"/>
      <c r="AB25" s="148"/>
      <c r="AC25" s="148"/>
      <c r="AD25" s="148"/>
      <c r="AE25" s="148"/>
      <c r="AF25" s="148"/>
      <c r="AG25" s="148"/>
      <c r="AH25" s="178"/>
      <c r="AI25" s="149">
        <v>13</v>
      </c>
      <c r="AJ25" s="148"/>
      <c r="AK25" s="148"/>
      <c r="AL25" s="148"/>
      <c r="AM25" s="148"/>
      <c r="AN25" s="148"/>
      <c r="AO25" s="148"/>
      <c r="AP25" s="148"/>
      <c r="AQ25" s="148"/>
      <c r="AR25" s="178"/>
      <c r="AS25" s="149">
        <v>14</v>
      </c>
      <c r="AT25" s="148"/>
      <c r="AU25" s="148"/>
      <c r="AV25" s="148"/>
      <c r="AW25" s="148"/>
      <c r="AX25" s="148"/>
      <c r="AY25" s="148"/>
      <c r="AZ25" s="148"/>
      <c r="BA25" s="148"/>
      <c r="BB25" s="178"/>
      <c r="BC25" s="176"/>
      <c r="BD25" s="176"/>
      <c r="BE25" s="176"/>
      <c r="BF25" s="176"/>
      <c r="BG25" s="176"/>
      <c r="BH25" s="176"/>
      <c r="BI25" s="176"/>
      <c r="BJ25" s="176"/>
      <c r="BK25" s="176"/>
      <c r="BL25" s="177"/>
      <c r="BM25" s="149"/>
      <c r="BN25" s="148"/>
      <c r="BO25" s="148"/>
      <c r="BP25" s="148"/>
      <c r="BQ25" s="148"/>
      <c r="BR25" s="148"/>
      <c r="BS25" s="148"/>
      <c r="BT25" s="148"/>
      <c r="BU25" s="148"/>
      <c r="BV25" s="178"/>
      <c r="BW25" s="149"/>
      <c r="BX25" s="148"/>
      <c r="BY25" s="148"/>
      <c r="BZ25" s="148"/>
      <c r="CA25" s="148"/>
      <c r="CB25" s="148"/>
      <c r="CC25" s="148"/>
      <c r="CD25" s="148"/>
      <c r="CE25" s="148"/>
      <c r="CF25" s="178"/>
      <c r="CG25" s="149"/>
      <c r="CH25" s="148"/>
      <c r="CI25" s="148"/>
      <c r="CJ25" s="148"/>
      <c r="CK25" s="148"/>
      <c r="CL25" s="148"/>
      <c r="CM25" s="148"/>
      <c r="CN25" s="148"/>
      <c r="CO25" s="148"/>
      <c r="CP25" s="178"/>
      <c r="CQ25" s="176"/>
      <c r="CR25" s="176"/>
      <c r="CS25" s="176"/>
      <c r="CT25" s="176"/>
      <c r="CU25" s="176"/>
      <c r="CV25" s="176"/>
      <c r="CW25" s="176"/>
      <c r="CX25" s="176"/>
      <c r="CY25" s="176"/>
      <c r="CZ25" s="177"/>
      <c r="DA25" s="149"/>
      <c r="DB25" s="148"/>
      <c r="DC25" s="148"/>
      <c r="DD25" s="148"/>
      <c r="DE25" s="148"/>
      <c r="DF25" s="148"/>
      <c r="DG25" s="148"/>
      <c r="DH25" s="148"/>
      <c r="DI25" s="148"/>
      <c r="DJ25" s="150"/>
      <c r="DK25" s="66"/>
      <c r="DL25" s="140"/>
      <c r="DM25" s="141"/>
      <c r="DN25" s="141"/>
      <c r="DO25" s="141"/>
      <c r="DP25" s="141"/>
      <c r="DQ25" s="141"/>
      <c r="DR25" s="142"/>
      <c r="DS25" s="143"/>
      <c r="DT25" s="141"/>
      <c r="DU25" s="141"/>
      <c r="DV25" s="141"/>
      <c r="DW25" s="142"/>
      <c r="DX25" s="126"/>
      <c r="DY25" s="123"/>
      <c r="DZ25" s="123"/>
      <c r="EA25" s="123"/>
      <c r="EB25" s="124"/>
    </row>
    <row r="26" spans="1:135" ht="30" customHeight="1" x14ac:dyDescent="0.15">
      <c r="A26" s="53">
        <v>29</v>
      </c>
      <c r="B26" s="23"/>
      <c r="C26" s="145"/>
      <c r="D26" s="146"/>
      <c r="E26" s="146"/>
      <c r="F26" s="157"/>
      <c r="G26" s="169" t="s">
        <v>207</v>
      </c>
      <c r="H26" s="169"/>
      <c r="I26" s="169"/>
      <c r="J26" s="169"/>
      <c r="K26" s="169"/>
      <c r="L26" s="169"/>
      <c r="M26" s="169"/>
      <c r="N26" s="170"/>
      <c r="O26" s="171" t="s">
        <v>196</v>
      </c>
      <c r="P26" s="171"/>
      <c r="Q26" s="171"/>
      <c r="R26" s="171"/>
      <c r="S26" s="171"/>
      <c r="T26" s="171"/>
      <c r="U26" s="171"/>
      <c r="V26" s="171"/>
      <c r="W26" s="171"/>
      <c r="X26" s="172"/>
      <c r="Y26" s="173" t="s">
        <v>197</v>
      </c>
      <c r="Z26" s="173"/>
      <c r="AA26" s="173"/>
      <c r="AB26" s="173"/>
      <c r="AC26" s="173"/>
      <c r="AD26" s="173"/>
      <c r="AE26" s="173"/>
      <c r="AF26" s="173"/>
      <c r="AG26" s="173"/>
      <c r="AH26" s="174"/>
      <c r="AI26" s="175" t="s">
        <v>198</v>
      </c>
      <c r="AJ26" s="173"/>
      <c r="AK26" s="173"/>
      <c r="AL26" s="173"/>
      <c r="AM26" s="173"/>
      <c r="AN26" s="173"/>
      <c r="AO26" s="173"/>
      <c r="AP26" s="173"/>
      <c r="AQ26" s="173"/>
      <c r="AR26" s="174"/>
      <c r="AS26" s="175" t="s">
        <v>199</v>
      </c>
      <c r="AT26" s="173"/>
      <c r="AU26" s="173"/>
      <c r="AV26" s="173"/>
      <c r="AW26" s="173"/>
      <c r="AX26" s="173"/>
      <c r="AY26" s="173"/>
      <c r="AZ26" s="173"/>
      <c r="BA26" s="173"/>
      <c r="BB26" s="174"/>
      <c r="BC26" s="126"/>
      <c r="BD26" s="123"/>
      <c r="BE26" s="123"/>
      <c r="BF26" s="123"/>
      <c r="BG26" s="123"/>
      <c r="BH26" s="123"/>
      <c r="BI26" s="123"/>
      <c r="BJ26" s="123"/>
      <c r="BK26" s="123"/>
      <c r="BL26" s="144"/>
      <c r="BM26" s="126"/>
      <c r="BN26" s="123"/>
      <c r="BO26" s="123"/>
      <c r="BP26" s="123"/>
      <c r="BQ26" s="123"/>
      <c r="BR26" s="123"/>
      <c r="BS26" s="123"/>
      <c r="BT26" s="123"/>
      <c r="BU26" s="123"/>
      <c r="BV26" s="144"/>
      <c r="BW26" s="126"/>
      <c r="BX26" s="123"/>
      <c r="BY26" s="123"/>
      <c r="BZ26" s="123"/>
      <c r="CA26" s="123"/>
      <c r="CB26" s="123"/>
      <c r="CC26" s="123"/>
      <c r="CD26" s="123"/>
      <c r="CE26" s="123"/>
      <c r="CF26" s="144"/>
      <c r="CG26" s="126"/>
      <c r="CH26" s="123"/>
      <c r="CI26" s="123"/>
      <c r="CJ26" s="123"/>
      <c r="CK26" s="123"/>
      <c r="CL26" s="123"/>
      <c r="CM26" s="123"/>
      <c r="CN26" s="123"/>
      <c r="CO26" s="123"/>
      <c r="CP26" s="144"/>
      <c r="CQ26" s="126"/>
      <c r="CR26" s="123"/>
      <c r="CS26" s="123"/>
      <c r="CT26" s="123"/>
      <c r="CU26" s="123"/>
      <c r="CV26" s="123"/>
      <c r="CW26" s="123"/>
      <c r="CX26" s="123"/>
      <c r="CY26" s="123"/>
      <c r="CZ26" s="144"/>
      <c r="DA26" s="126"/>
      <c r="DB26" s="123"/>
      <c r="DC26" s="123"/>
      <c r="DD26" s="123"/>
      <c r="DE26" s="123"/>
      <c r="DF26" s="123"/>
      <c r="DG26" s="123"/>
      <c r="DH26" s="123"/>
      <c r="DI26" s="123"/>
      <c r="DJ26" s="124"/>
      <c r="DK26" s="66"/>
      <c r="DL26" s="140"/>
      <c r="DM26" s="141"/>
      <c r="DN26" s="141"/>
      <c r="DO26" s="141"/>
      <c r="DP26" s="141"/>
      <c r="DQ26" s="141"/>
      <c r="DR26" s="142"/>
      <c r="DS26" s="143"/>
      <c r="DT26" s="141"/>
      <c r="DU26" s="141"/>
      <c r="DV26" s="141"/>
      <c r="DW26" s="142"/>
      <c r="DX26" s="126"/>
      <c r="DY26" s="123"/>
      <c r="DZ26" s="123"/>
      <c r="EA26" s="123"/>
      <c r="EB26" s="124"/>
    </row>
    <row r="27" spans="1:135" x14ac:dyDescent="0.15">
      <c r="A27" s="53">
        <v>30</v>
      </c>
      <c r="B27" s="23"/>
      <c r="C27" s="145"/>
      <c r="D27" s="146"/>
      <c r="E27" s="146"/>
      <c r="F27" s="157"/>
      <c r="G27" s="125" t="s">
        <v>206</v>
      </c>
      <c r="H27" s="125"/>
      <c r="I27" s="125"/>
      <c r="J27" s="125"/>
      <c r="K27" s="125"/>
      <c r="L27" s="125"/>
      <c r="M27" s="125"/>
      <c r="N27" s="125"/>
      <c r="O27" s="123" t="s">
        <v>48</v>
      </c>
      <c r="P27" s="123"/>
      <c r="Q27" s="123"/>
      <c r="R27" s="123"/>
      <c r="S27" s="144"/>
      <c r="T27" s="126" t="s">
        <v>20</v>
      </c>
      <c r="U27" s="123"/>
      <c r="V27" s="123"/>
      <c r="W27" s="123"/>
      <c r="X27" s="144"/>
      <c r="Y27" s="126" t="s">
        <v>48</v>
      </c>
      <c r="Z27" s="123"/>
      <c r="AA27" s="123"/>
      <c r="AB27" s="123"/>
      <c r="AC27" s="144"/>
      <c r="AD27" s="126" t="s">
        <v>20</v>
      </c>
      <c r="AE27" s="123"/>
      <c r="AF27" s="123"/>
      <c r="AG27" s="123"/>
      <c r="AH27" s="144"/>
      <c r="AI27" s="126" t="s">
        <v>48</v>
      </c>
      <c r="AJ27" s="123"/>
      <c r="AK27" s="123"/>
      <c r="AL27" s="123"/>
      <c r="AM27" s="144"/>
      <c r="AN27" s="126" t="s">
        <v>20</v>
      </c>
      <c r="AO27" s="123"/>
      <c r="AP27" s="123"/>
      <c r="AQ27" s="123"/>
      <c r="AR27" s="144"/>
      <c r="AS27" s="126" t="s">
        <v>48</v>
      </c>
      <c r="AT27" s="123"/>
      <c r="AU27" s="123"/>
      <c r="AV27" s="123"/>
      <c r="AW27" s="144"/>
      <c r="AX27" s="126" t="s">
        <v>20</v>
      </c>
      <c r="AY27" s="123"/>
      <c r="AZ27" s="123"/>
      <c r="BA27" s="123"/>
      <c r="BB27" s="144"/>
      <c r="BC27" s="126" t="s">
        <v>48</v>
      </c>
      <c r="BD27" s="123"/>
      <c r="BE27" s="123"/>
      <c r="BF27" s="123"/>
      <c r="BG27" s="144"/>
      <c r="BH27" s="126" t="s">
        <v>20</v>
      </c>
      <c r="BI27" s="123"/>
      <c r="BJ27" s="123"/>
      <c r="BK27" s="123"/>
      <c r="BL27" s="144"/>
      <c r="BM27" s="126" t="s">
        <v>48</v>
      </c>
      <c r="BN27" s="123"/>
      <c r="BO27" s="123"/>
      <c r="BP27" s="123"/>
      <c r="BQ27" s="144"/>
      <c r="BR27" s="126" t="s">
        <v>20</v>
      </c>
      <c r="BS27" s="123"/>
      <c r="BT27" s="123"/>
      <c r="BU27" s="123"/>
      <c r="BV27" s="144"/>
      <c r="BW27" s="126" t="s">
        <v>48</v>
      </c>
      <c r="BX27" s="123"/>
      <c r="BY27" s="123"/>
      <c r="BZ27" s="123"/>
      <c r="CA27" s="144"/>
      <c r="CB27" s="126" t="s">
        <v>20</v>
      </c>
      <c r="CC27" s="123"/>
      <c r="CD27" s="123"/>
      <c r="CE27" s="123"/>
      <c r="CF27" s="144"/>
      <c r="CG27" s="126" t="s">
        <v>48</v>
      </c>
      <c r="CH27" s="123"/>
      <c r="CI27" s="123"/>
      <c r="CJ27" s="123"/>
      <c r="CK27" s="144"/>
      <c r="CL27" s="126" t="s">
        <v>20</v>
      </c>
      <c r="CM27" s="123"/>
      <c r="CN27" s="123"/>
      <c r="CO27" s="123"/>
      <c r="CP27" s="144"/>
      <c r="CQ27" s="164" t="s">
        <v>48</v>
      </c>
      <c r="CR27" s="165"/>
      <c r="CS27" s="165"/>
      <c r="CT27" s="165"/>
      <c r="CU27" s="166"/>
      <c r="CV27" s="164" t="s">
        <v>20</v>
      </c>
      <c r="CW27" s="165"/>
      <c r="CX27" s="165"/>
      <c r="CY27" s="165"/>
      <c r="CZ27" s="166"/>
      <c r="DA27" s="164" t="s">
        <v>48</v>
      </c>
      <c r="DB27" s="165"/>
      <c r="DC27" s="165"/>
      <c r="DD27" s="165"/>
      <c r="DE27" s="166"/>
      <c r="DF27" s="126" t="s">
        <v>20</v>
      </c>
      <c r="DG27" s="123"/>
      <c r="DH27" s="123"/>
      <c r="DI27" s="123"/>
      <c r="DJ27" s="124"/>
      <c r="DK27" s="66"/>
      <c r="DL27" s="140"/>
      <c r="DM27" s="141"/>
      <c r="DN27" s="141"/>
      <c r="DO27" s="141"/>
      <c r="DP27" s="141"/>
      <c r="DQ27" s="141"/>
      <c r="DR27" s="142"/>
      <c r="DS27" s="143"/>
      <c r="DT27" s="141"/>
      <c r="DU27" s="141"/>
      <c r="DV27" s="141"/>
      <c r="DW27" s="142"/>
      <c r="DX27" s="126"/>
      <c r="DY27" s="123"/>
      <c r="DZ27" s="123"/>
      <c r="EA27" s="123"/>
      <c r="EB27" s="124"/>
    </row>
    <row r="28" spans="1:135" x14ac:dyDescent="0.15">
      <c r="A28" s="52">
        <v>31</v>
      </c>
      <c r="B28" s="23"/>
      <c r="C28" s="145"/>
      <c r="D28" s="146"/>
      <c r="E28" s="146"/>
      <c r="F28" s="157"/>
      <c r="G28" s="167" t="s">
        <v>21</v>
      </c>
      <c r="H28" s="165"/>
      <c r="I28" s="165"/>
      <c r="J28" s="165"/>
      <c r="K28" s="165"/>
      <c r="L28" s="165"/>
      <c r="M28" s="165"/>
      <c r="N28" s="168"/>
      <c r="O28" s="119"/>
      <c r="P28" s="119"/>
      <c r="Q28" s="119"/>
      <c r="R28" s="119"/>
      <c r="S28" s="120"/>
      <c r="T28" s="118"/>
      <c r="U28" s="119"/>
      <c r="V28" s="119"/>
      <c r="W28" s="119"/>
      <c r="X28" s="120"/>
      <c r="Y28" s="115">
        <v>125.85739</v>
      </c>
      <c r="Z28" s="116"/>
      <c r="AA28" s="116"/>
      <c r="AB28" s="116"/>
      <c r="AC28" s="117"/>
      <c r="AD28" s="115">
        <v>125900.125</v>
      </c>
      <c r="AE28" s="116"/>
      <c r="AF28" s="116"/>
      <c r="AG28" s="116"/>
      <c r="AH28" s="117"/>
      <c r="AI28" s="115">
        <v>125.00039</v>
      </c>
      <c r="AJ28" s="116"/>
      <c r="AK28" s="116"/>
      <c r="AL28" s="116"/>
      <c r="AM28" s="117"/>
      <c r="AN28" s="115">
        <v>125000.125</v>
      </c>
      <c r="AO28" s="116"/>
      <c r="AP28" s="116"/>
      <c r="AQ28" s="116"/>
      <c r="AR28" s="117"/>
      <c r="AS28" s="115">
        <v>0.85699999999999998</v>
      </c>
      <c r="AT28" s="116"/>
      <c r="AU28" s="116"/>
      <c r="AV28" s="116"/>
      <c r="AW28" s="117"/>
      <c r="AX28" s="115">
        <v>900</v>
      </c>
      <c r="AY28" s="116"/>
      <c r="AZ28" s="116"/>
      <c r="BA28" s="116"/>
      <c r="BB28" s="117"/>
      <c r="BC28" s="112"/>
      <c r="BD28" s="113"/>
      <c r="BE28" s="113"/>
      <c r="BF28" s="113"/>
      <c r="BG28" s="114"/>
      <c r="BH28" s="112"/>
      <c r="BI28" s="113"/>
      <c r="BJ28" s="113"/>
      <c r="BK28" s="113"/>
      <c r="BL28" s="114"/>
      <c r="BM28" s="112"/>
      <c r="BN28" s="113"/>
      <c r="BO28" s="113"/>
      <c r="BP28" s="113"/>
      <c r="BQ28" s="114"/>
      <c r="BR28" s="112"/>
      <c r="BS28" s="113"/>
      <c r="BT28" s="113"/>
      <c r="BU28" s="113"/>
      <c r="BV28" s="114"/>
      <c r="BW28" s="112"/>
      <c r="BX28" s="113"/>
      <c r="BY28" s="113"/>
      <c r="BZ28" s="113"/>
      <c r="CA28" s="114"/>
      <c r="CB28" s="112"/>
      <c r="CC28" s="113"/>
      <c r="CD28" s="113"/>
      <c r="CE28" s="113"/>
      <c r="CF28" s="114"/>
      <c r="CG28" s="112"/>
      <c r="CH28" s="113"/>
      <c r="CI28" s="113"/>
      <c r="CJ28" s="113"/>
      <c r="CK28" s="114"/>
      <c r="CL28" s="112"/>
      <c r="CM28" s="113"/>
      <c r="CN28" s="113"/>
      <c r="CO28" s="113"/>
      <c r="CP28" s="114"/>
      <c r="CQ28" s="112"/>
      <c r="CR28" s="113"/>
      <c r="CS28" s="113"/>
      <c r="CT28" s="113"/>
      <c r="CU28" s="114"/>
      <c r="CV28" s="112"/>
      <c r="CW28" s="113"/>
      <c r="CX28" s="113"/>
      <c r="CY28" s="113"/>
      <c r="CZ28" s="114"/>
      <c r="DA28" s="112"/>
      <c r="DB28" s="113"/>
      <c r="DC28" s="113"/>
      <c r="DD28" s="113"/>
      <c r="DE28" s="114"/>
      <c r="DF28" s="112"/>
      <c r="DG28" s="113"/>
      <c r="DH28" s="113"/>
      <c r="DI28" s="113"/>
      <c r="DJ28" s="163"/>
      <c r="DK28" s="66"/>
      <c r="DL28" s="140"/>
      <c r="DM28" s="141"/>
      <c r="DN28" s="141"/>
      <c r="DO28" s="141"/>
      <c r="DP28" s="141"/>
      <c r="DQ28" s="141"/>
      <c r="DR28" s="142"/>
      <c r="DS28" s="143"/>
      <c r="DT28" s="141"/>
      <c r="DU28" s="141"/>
      <c r="DV28" s="141"/>
      <c r="DW28" s="142"/>
      <c r="DX28" s="126"/>
      <c r="DY28" s="123"/>
      <c r="DZ28" s="123"/>
      <c r="EA28" s="123"/>
      <c r="EB28" s="124"/>
    </row>
    <row r="29" spans="1:135" x14ac:dyDescent="0.15">
      <c r="A29" s="53">
        <v>32</v>
      </c>
      <c r="B29" s="23"/>
      <c r="C29" s="47"/>
      <c r="D29" s="48"/>
      <c r="E29" s="48"/>
      <c r="F29" s="49"/>
      <c r="G29" s="122" t="s">
        <v>180</v>
      </c>
      <c r="H29" s="123"/>
      <c r="I29" s="123"/>
      <c r="J29" s="123"/>
      <c r="K29" s="123"/>
      <c r="L29" s="123"/>
      <c r="M29" s="123"/>
      <c r="N29" s="124"/>
      <c r="O29" s="119"/>
      <c r="P29" s="119"/>
      <c r="Q29" s="119"/>
      <c r="R29" s="119"/>
      <c r="S29" s="120"/>
      <c r="T29" s="118"/>
      <c r="U29" s="119"/>
      <c r="V29" s="119"/>
      <c r="W29" s="119"/>
      <c r="X29" s="120"/>
      <c r="Y29" s="116">
        <v>2.5000000000000001E-2</v>
      </c>
      <c r="Z29" s="116"/>
      <c r="AA29" s="116"/>
      <c r="AB29" s="116"/>
      <c r="AC29" s="117"/>
      <c r="AD29" s="115">
        <v>25</v>
      </c>
      <c r="AE29" s="116"/>
      <c r="AF29" s="116"/>
      <c r="AG29" s="116"/>
      <c r="AH29" s="117"/>
      <c r="AI29" s="116">
        <v>2.5000000000000001E-2</v>
      </c>
      <c r="AJ29" s="116"/>
      <c r="AK29" s="116"/>
      <c r="AL29" s="116"/>
      <c r="AM29" s="117"/>
      <c r="AN29" s="115">
        <v>25</v>
      </c>
      <c r="AO29" s="116"/>
      <c r="AP29" s="116"/>
      <c r="AQ29" s="116"/>
      <c r="AR29" s="117"/>
      <c r="AS29" s="118"/>
      <c r="AT29" s="119"/>
      <c r="AU29" s="119"/>
      <c r="AV29" s="119"/>
      <c r="AW29" s="120"/>
      <c r="AX29" s="118"/>
      <c r="AY29" s="119"/>
      <c r="AZ29" s="119"/>
      <c r="BA29" s="119"/>
      <c r="BB29" s="120"/>
      <c r="BC29" s="112"/>
      <c r="BD29" s="113"/>
      <c r="BE29" s="113"/>
      <c r="BF29" s="113"/>
      <c r="BG29" s="114"/>
      <c r="BH29" s="112"/>
      <c r="BI29" s="113"/>
      <c r="BJ29" s="113"/>
      <c r="BK29" s="113"/>
      <c r="BL29" s="114"/>
      <c r="BM29" s="112"/>
      <c r="BN29" s="113"/>
      <c r="BO29" s="113"/>
      <c r="BP29" s="113"/>
      <c r="BQ29" s="114"/>
      <c r="BR29" s="112"/>
      <c r="BS29" s="113"/>
      <c r="BT29" s="113"/>
      <c r="BU29" s="113"/>
      <c r="BV29" s="114"/>
      <c r="BW29" s="112"/>
      <c r="BX29" s="113"/>
      <c r="BY29" s="113"/>
      <c r="BZ29" s="113"/>
      <c r="CA29" s="114"/>
      <c r="CB29" s="112"/>
      <c r="CC29" s="113"/>
      <c r="CD29" s="113"/>
      <c r="CE29" s="113"/>
      <c r="CF29" s="114"/>
      <c r="CG29" s="112"/>
      <c r="CH29" s="113"/>
      <c r="CI29" s="113"/>
      <c r="CJ29" s="113"/>
      <c r="CK29" s="114"/>
      <c r="CL29" s="112"/>
      <c r="CM29" s="113"/>
      <c r="CN29" s="113"/>
      <c r="CO29" s="113"/>
      <c r="CP29" s="114"/>
      <c r="CQ29" s="112"/>
      <c r="CR29" s="113"/>
      <c r="CS29" s="113"/>
      <c r="CT29" s="113"/>
      <c r="CU29" s="114"/>
      <c r="CV29" s="112"/>
      <c r="CW29" s="113"/>
      <c r="CX29" s="113"/>
      <c r="CY29" s="113"/>
      <c r="CZ29" s="114"/>
      <c r="DA29" s="112"/>
      <c r="DB29" s="113"/>
      <c r="DC29" s="113"/>
      <c r="DD29" s="113"/>
      <c r="DE29" s="114"/>
      <c r="DF29" s="112"/>
      <c r="DG29" s="113"/>
      <c r="DH29" s="113"/>
      <c r="DI29" s="113"/>
      <c r="DJ29" s="163"/>
      <c r="DK29" s="66"/>
      <c r="DL29" s="140"/>
      <c r="DM29" s="141"/>
      <c r="DN29" s="141"/>
      <c r="DO29" s="141"/>
      <c r="DP29" s="141"/>
      <c r="DQ29" s="141"/>
      <c r="DR29" s="142"/>
      <c r="DS29" s="143"/>
      <c r="DT29" s="141"/>
      <c r="DU29" s="141"/>
      <c r="DV29" s="141"/>
      <c r="DW29" s="142"/>
      <c r="DX29" s="126"/>
      <c r="DY29" s="123"/>
      <c r="DZ29" s="123"/>
      <c r="EA29" s="123"/>
      <c r="EB29" s="124"/>
    </row>
    <row r="30" spans="1:135" x14ac:dyDescent="0.15">
      <c r="A30" s="53">
        <v>33</v>
      </c>
      <c r="B30" s="23"/>
      <c r="C30" s="47"/>
      <c r="D30" s="48"/>
      <c r="E30" s="48"/>
      <c r="F30" s="49"/>
      <c r="G30" s="122" t="s">
        <v>204</v>
      </c>
      <c r="H30" s="123"/>
      <c r="I30" s="123"/>
      <c r="J30" s="123"/>
      <c r="K30" s="123"/>
      <c r="L30" s="123"/>
      <c r="M30" s="123"/>
      <c r="N30" s="124"/>
      <c r="O30" s="119"/>
      <c r="P30" s="119"/>
      <c r="Q30" s="119"/>
      <c r="R30" s="119"/>
      <c r="S30" s="120"/>
      <c r="T30" s="118"/>
      <c r="U30" s="119"/>
      <c r="V30" s="119"/>
      <c r="W30" s="119"/>
      <c r="X30" s="120"/>
      <c r="Y30" s="119"/>
      <c r="Z30" s="119"/>
      <c r="AA30" s="119"/>
      <c r="AB30" s="119"/>
      <c r="AC30" s="120"/>
      <c r="AD30" s="118"/>
      <c r="AE30" s="119"/>
      <c r="AF30" s="119"/>
      <c r="AG30" s="119"/>
      <c r="AH30" s="120"/>
      <c r="AI30" s="119"/>
      <c r="AJ30" s="119"/>
      <c r="AK30" s="119"/>
      <c r="AL30" s="119"/>
      <c r="AM30" s="120"/>
      <c r="AN30" s="118"/>
      <c r="AO30" s="119"/>
      <c r="AP30" s="119"/>
      <c r="AQ30" s="119"/>
      <c r="AR30" s="120"/>
      <c r="AS30" s="118"/>
      <c r="AT30" s="119"/>
      <c r="AU30" s="119"/>
      <c r="AV30" s="119"/>
      <c r="AW30" s="120"/>
      <c r="AX30" s="118"/>
      <c r="AY30" s="119"/>
      <c r="AZ30" s="119"/>
      <c r="BA30" s="119"/>
      <c r="BB30" s="120"/>
      <c r="BC30" s="112"/>
      <c r="BD30" s="113"/>
      <c r="BE30" s="113"/>
      <c r="BF30" s="113"/>
      <c r="BG30" s="114"/>
      <c r="BH30" s="112"/>
      <c r="BI30" s="113"/>
      <c r="BJ30" s="113"/>
      <c r="BK30" s="113"/>
      <c r="BL30" s="114"/>
      <c r="BM30" s="112"/>
      <c r="BN30" s="113"/>
      <c r="BO30" s="113"/>
      <c r="BP30" s="113"/>
      <c r="BQ30" s="114"/>
      <c r="BR30" s="112"/>
      <c r="BS30" s="113"/>
      <c r="BT30" s="113"/>
      <c r="BU30" s="113"/>
      <c r="BV30" s="114"/>
      <c r="BW30" s="112"/>
      <c r="BX30" s="113"/>
      <c r="BY30" s="113"/>
      <c r="BZ30" s="113"/>
      <c r="CA30" s="114"/>
      <c r="CB30" s="112"/>
      <c r="CC30" s="113"/>
      <c r="CD30" s="113"/>
      <c r="CE30" s="113"/>
      <c r="CF30" s="114"/>
      <c r="CG30" s="112"/>
      <c r="CH30" s="113"/>
      <c r="CI30" s="113"/>
      <c r="CJ30" s="113"/>
      <c r="CK30" s="114"/>
      <c r="CL30" s="112"/>
      <c r="CM30" s="113"/>
      <c r="CN30" s="113"/>
      <c r="CO30" s="113"/>
      <c r="CP30" s="114"/>
      <c r="CQ30" s="112"/>
      <c r="CR30" s="113"/>
      <c r="CS30" s="113"/>
      <c r="CT30" s="113"/>
      <c r="CU30" s="114"/>
      <c r="CV30" s="112"/>
      <c r="CW30" s="113"/>
      <c r="CX30" s="113"/>
      <c r="CY30" s="113"/>
      <c r="CZ30" s="114"/>
      <c r="DA30" s="112"/>
      <c r="DB30" s="113"/>
      <c r="DC30" s="113"/>
      <c r="DD30" s="113"/>
      <c r="DE30" s="114"/>
      <c r="DF30" s="112"/>
      <c r="DG30" s="113"/>
      <c r="DH30" s="113"/>
      <c r="DI30" s="113"/>
      <c r="DJ30" s="163"/>
      <c r="DK30" s="66"/>
      <c r="DL30" s="140"/>
      <c r="DM30" s="141"/>
      <c r="DN30" s="141"/>
      <c r="DO30" s="141"/>
      <c r="DP30" s="141"/>
      <c r="DQ30" s="141"/>
      <c r="DR30" s="142"/>
      <c r="DS30" s="143"/>
      <c r="DT30" s="141"/>
      <c r="DU30" s="141"/>
      <c r="DV30" s="141"/>
      <c r="DW30" s="142"/>
      <c r="DX30" s="126"/>
      <c r="DY30" s="123"/>
      <c r="DZ30" s="123"/>
      <c r="EA30" s="123"/>
      <c r="EB30" s="124"/>
    </row>
    <row r="31" spans="1:135" x14ac:dyDescent="0.15">
      <c r="A31" s="53">
        <v>34</v>
      </c>
      <c r="B31" s="23"/>
      <c r="C31" s="47"/>
      <c r="D31" s="48"/>
      <c r="E31" s="48"/>
      <c r="F31" s="49"/>
      <c r="G31" s="122" t="s">
        <v>181</v>
      </c>
      <c r="H31" s="123"/>
      <c r="I31" s="123"/>
      <c r="J31" s="123"/>
      <c r="K31" s="123"/>
      <c r="L31" s="123"/>
      <c r="M31" s="123"/>
      <c r="N31" s="124"/>
      <c r="O31" s="119"/>
      <c r="P31" s="119"/>
      <c r="Q31" s="119"/>
      <c r="R31" s="119"/>
      <c r="S31" s="120"/>
      <c r="T31" s="118"/>
      <c r="U31" s="119"/>
      <c r="V31" s="119"/>
      <c r="W31" s="119"/>
      <c r="X31" s="120"/>
      <c r="Y31" s="115">
        <v>2.5000000000000001E-3</v>
      </c>
      <c r="Z31" s="116"/>
      <c r="AA31" s="116"/>
      <c r="AB31" s="116"/>
      <c r="AC31" s="117"/>
      <c r="AD31" s="115">
        <v>2.5</v>
      </c>
      <c r="AE31" s="116"/>
      <c r="AF31" s="116"/>
      <c r="AG31" s="116"/>
      <c r="AH31" s="117"/>
      <c r="AI31" s="115">
        <v>2.5000000000000001E-3</v>
      </c>
      <c r="AJ31" s="116"/>
      <c r="AK31" s="116"/>
      <c r="AL31" s="116"/>
      <c r="AM31" s="117"/>
      <c r="AN31" s="115">
        <v>2.5</v>
      </c>
      <c r="AO31" s="116"/>
      <c r="AP31" s="116"/>
      <c r="AQ31" s="116"/>
      <c r="AR31" s="117"/>
      <c r="AS31" s="118"/>
      <c r="AT31" s="119"/>
      <c r="AU31" s="119"/>
      <c r="AV31" s="119"/>
      <c r="AW31" s="120"/>
      <c r="AX31" s="118"/>
      <c r="AY31" s="119"/>
      <c r="AZ31" s="119"/>
      <c r="BA31" s="119"/>
      <c r="BB31" s="120"/>
      <c r="BC31" s="112"/>
      <c r="BD31" s="113"/>
      <c r="BE31" s="113"/>
      <c r="BF31" s="113"/>
      <c r="BG31" s="114"/>
      <c r="BH31" s="112"/>
      <c r="BI31" s="113"/>
      <c r="BJ31" s="113"/>
      <c r="BK31" s="113"/>
      <c r="BL31" s="114"/>
      <c r="BM31" s="112"/>
      <c r="BN31" s="113"/>
      <c r="BO31" s="113"/>
      <c r="BP31" s="113"/>
      <c r="BQ31" s="114"/>
      <c r="BR31" s="112"/>
      <c r="BS31" s="113"/>
      <c r="BT31" s="113"/>
      <c r="BU31" s="113"/>
      <c r="BV31" s="114"/>
      <c r="BW31" s="112"/>
      <c r="BX31" s="113"/>
      <c r="BY31" s="113"/>
      <c r="BZ31" s="113"/>
      <c r="CA31" s="114"/>
      <c r="CB31" s="112"/>
      <c r="CC31" s="113"/>
      <c r="CD31" s="113"/>
      <c r="CE31" s="113"/>
      <c r="CF31" s="114"/>
      <c r="CG31" s="112"/>
      <c r="CH31" s="113"/>
      <c r="CI31" s="113"/>
      <c r="CJ31" s="113"/>
      <c r="CK31" s="114"/>
      <c r="CL31" s="112"/>
      <c r="CM31" s="113"/>
      <c r="CN31" s="113"/>
      <c r="CO31" s="113"/>
      <c r="CP31" s="114"/>
      <c r="CQ31" s="112"/>
      <c r="CR31" s="113"/>
      <c r="CS31" s="113"/>
      <c r="CT31" s="113"/>
      <c r="CU31" s="114"/>
      <c r="CV31" s="112"/>
      <c r="CW31" s="113"/>
      <c r="CX31" s="113"/>
      <c r="CY31" s="113"/>
      <c r="CZ31" s="114"/>
      <c r="DA31" s="112"/>
      <c r="DB31" s="113"/>
      <c r="DC31" s="113"/>
      <c r="DD31" s="113"/>
      <c r="DE31" s="114"/>
      <c r="DF31" s="112"/>
      <c r="DG31" s="113"/>
      <c r="DH31" s="113"/>
      <c r="DI31" s="113"/>
      <c r="DJ31" s="163"/>
      <c r="DK31" s="66"/>
      <c r="DL31" s="140"/>
      <c r="DM31" s="141"/>
      <c r="DN31" s="141"/>
      <c r="DO31" s="141"/>
      <c r="DP31" s="141"/>
      <c r="DQ31" s="141"/>
      <c r="DR31" s="142"/>
      <c r="DS31" s="143"/>
      <c r="DT31" s="141"/>
      <c r="DU31" s="141"/>
      <c r="DV31" s="141"/>
      <c r="DW31" s="142"/>
      <c r="DX31" s="126"/>
      <c r="DY31" s="123"/>
      <c r="DZ31" s="123"/>
      <c r="EA31" s="123"/>
      <c r="EB31" s="124"/>
    </row>
    <row r="32" spans="1:135" x14ac:dyDescent="0.15">
      <c r="A32" s="53">
        <v>35</v>
      </c>
      <c r="B32" s="23"/>
      <c r="C32" s="47"/>
      <c r="D32" s="48"/>
      <c r="E32" s="48"/>
      <c r="F32" s="49"/>
      <c r="G32" s="122" t="s">
        <v>200</v>
      </c>
      <c r="H32" s="123"/>
      <c r="I32" s="123"/>
      <c r="J32" s="123"/>
      <c r="K32" s="123"/>
      <c r="L32" s="123"/>
      <c r="M32" s="123"/>
      <c r="N32" s="124"/>
      <c r="O32" s="119"/>
      <c r="P32" s="119"/>
      <c r="Q32" s="119"/>
      <c r="R32" s="119"/>
      <c r="S32" s="120"/>
      <c r="T32" s="118"/>
      <c r="U32" s="119"/>
      <c r="V32" s="119"/>
      <c r="W32" s="119"/>
      <c r="X32" s="120"/>
      <c r="Y32" s="118"/>
      <c r="Z32" s="119"/>
      <c r="AA32" s="119"/>
      <c r="AB32" s="119"/>
      <c r="AC32" s="120"/>
      <c r="AD32" s="118"/>
      <c r="AE32" s="119"/>
      <c r="AF32" s="119"/>
      <c r="AG32" s="119"/>
      <c r="AH32" s="120"/>
      <c r="AI32" s="118"/>
      <c r="AJ32" s="119"/>
      <c r="AK32" s="119"/>
      <c r="AL32" s="119"/>
      <c r="AM32" s="120"/>
      <c r="AN32" s="118"/>
      <c r="AO32" s="119"/>
      <c r="AP32" s="119"/>
      <c r="AQ32" s="119"/>
      <c r="AR32" s="120"/>
      <c r="AS32" s="118"/>
      <c r="AT32" s="119"/>
      <c r="AU32" s="119"/>
      <c r="AV32" s="119"/>
      <c r="AW32" s="120"/>
      <c r="AX32" s="118"/>
      <c r="AY32" s="119"/>
      <c r="AZ32" s="119"/>
      <c r="BA32" s="119"/>
      <c r="BB32" s="120"/>
      <c r="BC32" s="112"/>
      <c r="BD32" s="113"/>
      <c r="BE32" s="113"/>
      <c r="BF32" s="113"/>
      <c r="BG32" s="114"/>
      <c r="BH32" s="112"/>
      <c r="BI32" s="113"/>
      <c r="BJ32" s="113"/>
      <c r="BK32" s="113"/>
      <c r="BL32" s="114"/>
      <c r="BM32" s="112"/>
      <c r="BN32" s="113"/>
      <c r="BO32" s="113"/>
      <c r="BP32" s="113"/>
      <c r="BQ32" s="114"/>
      <c r="BR32" s="112"/>
      <c r="BS32" s="113"/>
      <c r="BT32" s="113"/>
      <c r="BU32" s="113"/>
      <c r="BV32" s="114"/>
      <c r="BW32" s="112"/>
      <c r="BX32" s="113"/>
      <c r="BY32" s="113"/>
      <c r="BZ32" s="113"/>
      <c r="CA32" s="114"/>
      <c r="CB32" s="112"/>
      <c r="CC32" s="113"/>
      <c r="CD32" s="113"/>
      <c r="CE32" s="113"/>
      <c r="CF32" s="114"/>
      <c r="CG32" s="112"/>
      <c r="CH32" s="113"/>
      <c r="CI32" s="113"/>
      <c r="CJ32" s="113"/>
      <c r="CK32" s="114"/>
      <c r="CL32" s="112"/>
      <c r="CM32" s="113"/>
      <c r="CN32" s="113"/>
      <c r="CO32" s="113"/>
      <c r="CP32" s="114"/>
      <c r="CQ32" s="112"/>
      <c r="CR32" s="113"/>
      <c r="CS32" s="113"/>
      <c r="CT32" s="113"/>
      <c r="CU32" s="114"/>
      <c r="CV32" s="112"/>
      <c r="CW32" s="113"/>
      <c r="CX32" s="113"/>
      <c r="CY32" s="113"/>
      <c r="CZ32" s="114"/>
      <c r="DA32" s="112"/>
      <c r="DB32" s="113"/>
      <c r="DC32" s="113"/>
      <c r="DD32" s="113"/>
      <c r="DE32" s="114"/>
      <c r="DF32" s="112"/>
      <c r="DG32" s="113"/>
      <c r="DH32" s="113"/>
      <c r="DI32" s="113"/>
      <c r="DJ32" s="163"/>
      <c r="DK32" s="66"/>
      <c r="DL32" s="140"/>
      <c r="DM32" s="141"/>
      <c r="DN32" s="141"/>
      <c r="DO32" s="141"/>
      <c r="DP32" s="141"/>
      <c r="DQ32" s="141"/>
      <c r="DR32" s="142"/>
      <c r="DS32" s="143"/>
      <c r="DT32" s="141"/>
      <c r="DU32" s="141"/>
      <c r="DV32" s="141"/>
      <c r="DW32" s="142"/>
      <c r="DX32" s="220"/>
      <c r="DY32" s="221"/>
      <c r="DZ32" s="221"/>
      <c r="EA32" s="221"/>
      <c r="EB32" s="222"/>
    </row>
    <row r="33" spans="1:134" x14ac:dyDescent="0.15">
      <c r="A33" s="52">
        <v>36</v>
      </c>
      <c r="B33" s="23"/>
      <c r="C33" s="47"/>
      <c r="D33" s="48"/>
      <c r="E33" s="48"/>
      <c r="F33" s="49"/>
      <c r="G33" s="122" t="s">
        <v>201</v>
      </c>
      <c r="H33" s="123"/>
      <c r="I33" s="123"/>
      <c r="J33" s="123"/>
      <c r="K33" s="123"/>
      <c r="L33" s="123"/>
      <c r="M33" s="123"/>
      <c r="N33" s="124"/>
      <c r="O33" s="119"/>
      <c r="P33" s="119"/>
      <c r="Q33" s="119"/>
      <c r="R33" s="119"/>
      <c r="S33" s="120"/>
      <c r="T33" s="118"/>
      <c r="U33" s="119"/>
      <c r="V33" s="119"/>
      <c r="W33" s="119"/>
      <c r="X33" s="120"/>
      <c r="Y33" s="118"/>
      <c r="Z33" s="119"/>
      <c r="AA33" s="119"/>
      <c r="AB33" s="119"/>
      <c r="AC33" s="120"/>
      <c r="AD33" s="118"/>
      <c r="AE33" s="119"/>
      <c r="AF33" s="119"/>
      <c r="AG33" s="119"/>
      <c r="AH33" s="120"/>
      <c r="AI33" s="118"/>
      <c r="AJ33" s="119"/>
      <c r="AK33" s="119"/>
      <c r="AL33" s="119"/>
      <c r="AM33" s="120"/>
      <c r="AN33" s="118"/>
      <c r="AO33" s="119"/>
      <c r="AP33" s="119"/>
      <c r="AQ33" s="119"/>
      <c r="AR33" s="120"/>
      <c r="AS33" s="118"/>
      <c r="AT33" s="119"/>
      <c r="AU33" s="119"/>
      <c r="AV33" s="119"/>
      <c r="AW33" s="120"/>
      <c r="AX33" s="118"/>
      <c r="AY33" s="119"/>
      <c r="AZ33" s="119"/>
      <c r="BA33" s="119"/>
      <c r="BB33" s="120"/>
      <c r="BC33" s="112"/>
      <c r="BD33" s="113"/>
      <c r="BE33" s="113"/>
      <c r="BF33" s="113"/>
      <c r="BG33" s="114"/>
      <c r="BH33" s="112"/>
      <c r="BI33" s="113"/>
      <c r="BJ33" s="113"/>
      <c r="BK33" s="113"/>
      <c r="BL33" s="114"/>
      <c r="BM33" s="112"/>
      <c r="BN33" s="113"/>
      <c r="BO33" s="113"/>
      <c r="BP33" s="113"/>
      <c r="BQ33" s="114"/>
      <c r="BR33" s="112"/>
      <c r="BS33" s="113"/>
      <c r="BT33" s="113"/>
      <c r="BU33" s="113"/>
      <c r="BV33" s="114"/>
      <c r="BW33" s="112"/>
      <c r="BX33" s="113"/>
      <c r="BY33" s="113"/>
      <c r="BZ33" s="113"/>
      <c r="CA33" s="114"/>
      <c r="CB33" s="112"/>
      <c r="CC33" s="113"/>
      <c r="CD33" s="113"/>
      <c r="CE33" s="113"/>
      <c r="CF33" s="114"/>
      <c r="CG33" s="112"/>
      <c r="CH33" s="113"/>
      <c r="CI33" s="113"/>
      <c r="CJ33" s="113"/>
      <c r="CK33" s="114"/>
      <c r="CL33" s="112"/>
      <c r="CM33" s="113"/>
      <c r="CN33" s="113"/>
      <c r="CO33" s="113"/>
      <c r="CP33" s="114"/>
      <c r="CQ33" s="112"/>
      <c r="CR33" s="113"/>
      <c r="CS33" s="113"/>
      <c r="CT33" s="113"/>
      <c r="CU33" s="114"/>
      <c r="CV33" s="112"/>
      <c r="CW33" s="113"/>
      <c r="CX33" s="113"/>
      <c r="CY33" s="113"/>
      <c r="CZ33" s="114"/>
      <c r="DA33" s="112"/>
      <c r="DB33" s="113"/>
      <c r="DC33" s="113"/>
      <c r="DD33" s="113"/>
      <c r="DE33" s="114"/>
      <c r="DF33" s="112"/>
      <c r="DG33" s="113"/>
      <c r="DH33" s="113"/>
      <c r="DI33" s="113"/>
      <c r="DJ33" s="163"/>
      <c r="DK33" s="66"/>
      <c r="DL33" s="140"/>
      <c r="DM33" s="141"/>
      <c r="DN33" s="141"/>
      <c r="DO33" s="141"/>
      <c r="DP33" s="141"/>
      <c r="DQ33" s="141"/>
      <c r="DR33" s="142"/>
      <c r="DS33" s="143"/>
      <c r="DT33" s="141"/>
      <c r="DU33" s="141"/>
      <c r="DV33" s="141"/>
      <c r="DW33" s="142"/>
      <c r="DX33" s="126"/>
      <c r="DY33" s="123"/>
      <c r="DZ33" s="123"/>
      <c r="EA33" s="123"/>
      <c r="EB33" s="124"/>
    </row>
    <row r="34" spans="1:134" x14ac:dyDescent="0.15">
      <c r="A34" s="53">
        <v>37</v>
      </c>
      <c r="B34" s="23"/>
      <c r="C34" s="47"/>
      <c r="D34" s="48"/>
      <c r="E34" s="48"/>
      <c r="F34" s="49"/>
      <c r="G34" s="122" t="s">
        <v>205</v>
      </c>
      <c r="H34" s="123"/>
      <c r="I34" s="123"/>
      <c r="J34" s="123"/>
      <c r="K34" s="123"/>
      <c r="L34" s="123"/>
      <c r="M34" s="123"/>
      <c r="N34" s="124"/>
      <c r="O34" s="116">
        <v>27.6</v>
      </c>
      <c r="P34" s="116"/>
      <c r="Q34" s="116"/>
      <c r="R34" s="116"/>
      <c r="S34" s="117"/>
      <c r="T34" s="115">
        <v>32.700000000000003</v>
      </c>
      <c r="U34" s="116"/>
      <c r="V34" s="116"/>
      <c r="W34" s="116"/>
      <c r="X34" s="117"/>
      <c r="Y34" s="118"/>
      <c r="Z34" s="119"/>
      <c r="AA34" s="119"/>
      <c r="AB34" s="119"/>
      <c r="AC34" s="120"/>
      <c r="AD34" s="118"/>
      <c r="AE34" s="119"/>
      <c r="AF34" s="119"/>
      <c r="AG34" s="119"/>
      <c r="AH34" s="120"/>
      <c r="AI34" s="118"/>
      <c r="AJ34" s="119"/>
      <c r="AK34" s="119"/>
      <c r="AL34" s="119"/>
      <c r="AM34" s="120"/>
      <c r="AN34" s="118"/>
      <c r="AO34" s="119"/>
      <c r="AP34" s="119"/>
      <c r="AQ34" s="119"/>
      <c r="AR34" s="120"/>
      <c r="AS34" s="118"/>
      <c r="AT34" s="119"/>
      <c r="AU34" s="119"/>
      <c r="AV34" s="119"/>
      <c r="AW34" s="120"/>
      <c r="AX34" s="118"/>
      <c r="AY34" s="119"/>
      <c r="AZ34" s="119"/>
      <c r="BA34" s="119"/>
      <c r="BB34" s="120"/>
      <c r="BC34" s="112"/>
      <c r="BD34" s="113"/>
      <c r="BE34" s="113"/>
      <c r="BF34" s="113"/>
      <c r="BG34" s="114"/>
      <c r="BH34" s="112"/>
      <c r="BI34" s="113"/>
      <c r="BJ34" s="113"/>
      <c r="BK34" s="113"/>
      <c r="BL34" s="114"/>
      <c r="BM34" s="112"/>
      <c r="BN34" s="113"/>
      <c r="BO34" s="113"/>
      <c r="BP34" s="113"/>
      <c r="BQ34" s="114"/>
      <c r="BR34" s="112"/>
      <c r="BS34" s="113"/>
      <c r="BT34" s="113"/>
      <c r="BU34" s="113"/>
      <c r="BV34" s="114"/>
      <c r="BW34" s="112"/>
      <c r="BX34" s="113"/>
      <c r="BY34" s="113"/>
      <c r="BZ34" s="113"/>
      <c r="CA34" s="114"/>
      <c r="CB34" s="112"/>
      <c r="CC34" s="113"/>
      <c r="CD34" s="113"/>
      <c r="CE34" s="113"/>
      <c r="CF34" s="114"/>
      <c r="CG34" s="112"/>
      <c r="CH34" s="113"/>
      <c r="CI34" s="113"/>
      <c r="CJ34" s="113"/>
      <c r="CK34" s="114"/>
      <c r="CL34" s="112"/>
      <c r="CM34" s="113"/>
      <c r="CN34" s="113"/>
      <c r="CO34" s="113"/>
      <c r="CP34" s="114"/>
      <c r="CQ34" s="112"/>
      <c r="CR34" s="113"/>
      <c r="CS34" s="113"/>
      <c r="CT34" s="113"/>
      <c r="CU34" s="114"/>
      <c r="CV34" s="112"/>
      <c r="CW34" s="113"/>
      <c r="CX34" s="113"/>
      <c r="CY34" s="113"/>
      <c r="CZ34" s="114"/>
      <c r="DA34" s="112"/>
      <c r="DB34" s="113"/>
      <c r="DC34" s="113"/>
      <c r="DD34" s="113"/>
      <c r="DE34" s="114"/>
      <c r="DF34" s="112"/>
      <c r="DG34" s="113"/>
      <c r="DH34" s="113"/>
      <c r="DI34" s="113"/>
      <c r="DJ34" s="163"/>
      <c r="DK34" s="66"/>
      <c r="DL34" s="140"/>
      <c r="DM34" s="141"/>
      <c r="DN34" s="141"/>
      <c r="DO34" s="141"/>
      <c r="DP34" s="141"/>
      <c r="DQ34" s="141"/>
      <c r="DR34" s="142"/>
      <c r="DS34" s="143"/>
      <c r="DT34" s="141"/>
      <c r="DU34" s="141"/>
      <c r="DV34" s="141"/>
      <c r="DW34" s="142"/>
      <c r="DX34" s="126"/>
      <c r="DY34" s="123"/>
      <c r="DZ34" s="123"/>
      <c r="EA34" s="123"/>
      <c r="EB34" s="124"/>
    </row>
    <row r="35" spans="1:134" s="68" customFormat="1" ht="13" customHeight="1" x14ac:dyDescent="0.15">
      <c r="A35" s="69">
        <v>38</v>
      </c>
      <c r="B35" s="23"/>
      <c r="C35" s="47"/>
      <c r="D35" s="48"/>
      <c r="E35" s="48"/>
      <c r="F35" s="49"/>
      <c r="G35" s="122" t="s">
        <v>202</v>
      </c>
      <c r="H35" s="123"/>
      <c r="I35" s="123"/>
      <c r="J35" s="123"/>
      <c r="K35" s="123"/>
      <c r="L35" s="123"/>
      <c r="M35" s="123"/>
      <c r="N35" s="124"/>
      <c r="O35" s="116">
        <v>53</v>
      </c>
      <c r="P35" s="116"/>
      <c r="Q35" s="116"/>
      <c r="R35" s="116"/>
      <c r="S35" s="117"/>
      <c r="T35" s="115">
        <v>62.8</v>
      </c>
      <c r="U35" s="116"/>
      <c r="V35" s="116"/>
      <c r="W35" s="116"/>
      <c r="X35" s="117"/>
      <c r="Y35" s="118"/>
      <c r="Z35" s="119"/>
      <c r="AA35" s="119"/>
      <c r="AB35" s="119"/>
      <c r="AC35" s="120"/>
      <c r="AD35" s="118"/>
      <c r="AE35" s="119"/>
      <c r="AF35" s="119"/>
      <c r="AG35" s="119"/>
      <c r="AH35" s="120"/>
      <c r="AI35" s="118"/>
      <c r="AJ35" s="119"/>
      <c r="AK35" s="119"/>
      <c r="AL35" s="119"/>
      <c r="AM35" s="120"/>
      <c r="AN35" s="118"/>
      <c r="AO35" s="119"/>
      <c r="AP35" s="119"/>
      <c r="AQ35" s="119"/>
      <c r="AR35" s="120"/>
      <c r="AS35" s="118"/>
      <c r="AT35" s="119"/>
      <c r="AU35" s="119"/>
      <c r="AV35" s="119"/>
      <c r="AW35" s="120"/>
      <c r="AX35" s="118"/>
      <c r="AY35" s="119"/>
      <c r="AZ35" s="119"/>
      <c r="BA35" s="119"/>
      <c r="BB35" s="120"/>
      <c r="BC35" s="112"/>
      <c r="BD35" s="113"/>
      <c r="BE35" s="113"/>
      <c r="BF35" s="113"/>
      <c r="BG35" s="114"/>
      <c r="BH35" s="112"/>
      <c r="BI35" s="113"/>
      <c r="BJ35" s="113"/>
      <c r="BK35" s="113"/>
      <c r="BL35" s="114"/>
      <c r="BM35" s="112"/>
      <c r="BN35" s="113"/>
      <c r="BO35" s="113"/>
      <c r="BP35" s="113"/>
      <c r="BQ35" s="114"/>
      <c r="BR35" s="112"/>
      <c r="BS35" s="113"/>
      <c r="BT35" s="113"/>
      <c r="BU35" s="113"/>
      <c r="BV35" s="114"/>
      <c r="BW35" s="112"/>
      <c r="BX35" s="113"/>
      <c r="BY35" s="113"/>
      <c r="BZ35" s="113"/>
      <c r="CA35" s="114"/>
      <c r="CB35" s="112"/>
      <c r="CC35" s="113"/>
      <c r="CD35" s="113"/>
      <c r="CE35" s="113"/>
      <c r="CF35" s="114"/>
      <c r="CG35" s="112"/>
      <c r="CH35" s="113"/>
      <c r="CI35" s="113"/>
      <c r="CJ35" s="113"/>
      <c r="CK35" s="114"/>
      <c r="CL35" s="112"/>
      <c r="CM35" s="113"/>
      <c r="CN35" s="113"/>
      <c r="CO35" s="113"/>
      <c r="CP35" s="114"/>
      <c r="CQ35" s="112"/>
      <c r="CR35" s="113"/>
      <c r="CS35" s="113"/>
      <c r="CT35" s="113"/>
      <c r="CU35" s="114"/>
      <c r="CV35" s="112"/>
      <c r="CW35" s="113"/>
      <c r="CX35" s="113"/>
      <c r="CY35" s="113"/>
      <c r="CZ35" s="114"/>
      <c r="DA35" s="112"/>
      <c r="DB35" s="113"/>
      <c r="DC35" s="113"/>
      <c r="DD35" s="113"/>
      <c r="DE35" s="114"/>
      <c r="DF35" s="112"/>
      <c r="DG35" s="113"/>
      <c r="DH35" s="113"/>
      <c r="DI35" s="113"/>
      <c r="DJ35" s="163"/>
      <c r="DK35" s="66"/>
      <c r="DL35" s="140"/>
      <c r="DM35" s="141"/>
      <c r="DN35" s="141"/>
      <c r="DO35" s="141"/>
      <c r="DP35" s="141"/>
      <c r="DQ35" s="141"/>
      <c r="DR35" s="142"/>
      <c r="DS35" s="143"/>
      <c r="DT35" s="141"/>
      <c r="DU35" s="141"/>
      <c r="DV35" s="141"/>
      <c r="DW35" s="142"/>
      <c r="DX35" s="126"/>
      <c r="DY35" s="123"/>
      <c r="DZ35" s="123"/>
      <c r="EA35" s="123"/>
      <c r="EB35" s="124"/>
    </row>
    <row r="36" spans="1:134" s="68" customFormat="1" ht="13" customHeight="1" x14ac:dyDescent="0.15">
      <c r="A36" s="69"/>
      <c r="B36" s="23"/>
      <c r="C36" s="47"/>
      <c r="D36" s="48"/>
      <c r="E36" s="48"/>
      <c r="F36" s="49"/>
      <c r="G36" s="109" t="s">
        <v>209</v>
      </c>
      <c r="H36" s="110"/>
      <c r="I36" s="110"/>
      <c r="J36" s="110"/>
      <c r="K36" s="110"/>
      <c r="L36" s="110"/>
      <c r="M36" s="110"/>
      <c r="N36" s="111"/>
      <c r="O36" s="121"/>
      <c r="P36" s="119"/>
      <c r="Q36" s="119"/>
      <c r="R36" s="119"/>
      <c r="S36" s="120"/>
      <c r="T36" s="118"/>
      <c r="U36" s="119"/>
      <c r="V36" s="119"/>
      <c r="W36" s="119"/>
      <c r="X36" s="120"/>
      <c r="Y36" s="115" t="s">
        <v>210</v>
      </c>
      <c r="Z36" s="116"/>
      <c r="AA36" s="116"/>
      <c r="AB36" s="116"/>
      <c r="AC36" s="117"/>
      <c r="AD36" s="115">
        <v>100</v>
      </c>
      <c r="AE36" s="116"/>
      <c r="AF36" s="116"/>
      <c r="AG36" s="116"/>
      <c r="AH36" s="117"/>
      <c r="AI36" s="118"/>
      <c r="AJ36" s="119"/>
      <c r="AK36" s="119"/>
      <c r="AL36" s="119"/>
      <c r="AM36" s="120"/>
      <c r="AN36" s="118"/>
      <c r="AO36" s="119"/>
      <c r="AP36" s="119"/>
      <c r="AQ36" s="119"/>
      <c r="AR36" s="120"/>
      <c r="AS36" s="115" t="s">
        <v>210</v>
      </c>
      <c r="AT36" s="116"/>
      <c r="AU36" s="116"/>
      <c r="AV36" s="116"/>
      <c r="AW36" s="117"/>
      <c r="AX36" s="115">
        <v>100</v>
      </c>
      <c r="AY36" s="116"/>
      <c r="AZ36" s="116"/>
      <c r="BA36" s="116"/>
      <c r="BB36" s="117"/>
      <c r="BC36" s="112"/>
      <c r="BD36" s="113"/>
      <c r="BE36" s="113"/>
      <c r="BF36" s="113"/>
      <c r="BG36" s="114"/>
      <c r="BH36" s="87"/>
      <c r="BI36" s="88"/>
      <c r="BJ36" s="88"/>
      <c r="BK36" s="88"/>
      <c r="BL36" s="89"/>
      <c r="BM36" s="87"/>
      <c r="BN36" s="88"/>
      <c r="BO36" s="88"/>
      <c r="BP36" s="88"/>
      <c r="BQ36" s="89"/>
      <c r="BR36" s="87"/>
      <c r="BS36" s="88"/>
      <c r="BT36" s="88"/>
      <c r="BU36" s="88"/>
      <c r="BV36" s="89"/>
      <c r="BW36" s="87"/>
      <c r="BX36" s="88"/>
      <c r="BY36" s="88"/>
      <c r="BZ36" s="88"/>
      <c r="CA36" s="89"/>
      <c r="CB36" s="87"/>
      <c r="CC36" s="88"/>
      <c r="CD36" s="88"/>
      <c r="CE36" s="88"/>
      <c r="CF36" s="89"/>
      <c r="CG36" s="87"/>
      <c r="CH36" s="88"/>
      <c r="CI36" s="88"/>
      <c r="CJ36" s="88"/>
      <c r="CK36" s="89"/>
      <c r="CL36" s="87"/>
      <c r="CM36" s="88"/>
      <c r="CN36" s="88"/>
      <c r="CO36" s="88"/>
      <c r="CP36" s="89"/>
      <c r="CQ36" s="87"/>
      <c r="CR36" s="88"/>
      <c r="CS36" s="88"/>
      <c r="CT36" s="88"/>
      <c r="CU36" s="89"/>
      <c r="CV36" s="87"/>
      <c r="CW36" s="88"/>
      <c r="CX36" s="88"/>
      <c r="CY36" s="88"/>
      <c r="CZ36" s="89"/>
      <c r="DA36" s="87"/>
      <c r="DB36" s="88"/>
      <c r="DC36" s="88"/>
      <c r="DD36" s="88"/>
      <c r="DE36" s="89"/>
      <c r="DF36" s="87"/>
      <c r="DG36" s="88"/>
      <c r="DH36" s="88"/>
      <c r="DI36" s="88"/>
      <c r="DJ36" s="90"/>
      <c r="DK36" s="66"/>
      <c r="DL36" s="102"/>
      <c r="DM36" s="103"/>
      <c r="DN36" s="103"/>
      <c r="DO36" s="103"/>
      <c r="DP36" s="103"/>
      <c r="DQ36" s="103"/>
      <c r="DR36" s="104"/>
      <c r="DS36" s="105"/>
      <c r="DT36" s="103"/>
      <c r="DU36" s="103"/>
      <c r="DV36" s="103"/>
      <c r="DW36" s="104"/>
      <c r="DX36" s="101"/>
      <c r="DY36" s="101"/>
      <c r="DZ36" s="101"/>
      <c r="EA36" s="101"/>
      <c r="EB36" s="61"/>
    </row>
    <row r="37" spans="1:134" x14ac:dyDescent="0.15">
      <c r="A37" s="53">
        <v>44</v>
      </c>
      <c r="B37" s="23"/>
      <c r="C37" s="145"/>
      <c r="D37" s="146"/>
      <c r="E37" s="146"/>
      <c r="F37" s="157"/>
      <c r="G37" s="125" t="s">
        <v>28</v>
      </c>
      <c r="H37" s="125"/>
      <c r="I37" s="125"/>
      <c r="J37" s="125"/>
      <c r="K37" s="125"/>
      <c r="L37" s="125"/>
      <c r="M37" s="125"/>
      <c r="N37" s="125"/>
      <c r="O37" s="143">
        <f>SUM(O28:S35)</f>
        <v>80.599999999999994</v>
      </c>
      <c r="P37" s="141"/>
      <c r="Q37" s="141"/>
      <c r="R37" s="141"/>
      <c r="S37" s="142"/>
      <c r="T37" s="143">
        <f>SUM(T28:X35)</f>
        <v>95.5</v>
      </c>
      <c r="U37" s="141"/>
      <c r="V37" s="141"/>
      <c r="W37" s="141"/>
      <c r="X37" s="142"/>
      <c r="Y37" s="143">
        <f t="shared" ref="Y37" si="19">SUM(Y28:AC35)</f>
        <v>125.88489</v>
      </c>
      <c r="Z37" s="141"/>
      <c r="AA37" s="141"/>
      <c r="AB37" s="141"/>
      <c r="AC37" s="142"/>
      <c r="AD37" s="143">
        <f t="shared" ref="AD37" si="20">SUM(AD28:AH35)</f>
        <v>125927.625</v>
      </c>
      <c r="AE37" s="141"/>
      <c r="AF37" s="141"/>
      <c r="AG37" s="141"/>
      <c r="AH37" s="142"/>
      <c r="AI37" s="143">
        <f t="shared" ref="AI37" si="21">SUM(AI28:AM35)</f>
        <v>125.02789</v>
      </c>
      <c r="AJ37" s="141"/>
      <c r="AK37" s="141"/>
      <c r="AL37" s="141"/>
      <c r="AM37" s="142"/>
      <c r="AN37" s="143">
        <f t="shared" ref="AN37" si="22">SUM(AN28:AR35)</f>
        <v>125027.625</v>
      </c>
      <c r="AO37" s="141"/>
      <c r="AP37" s="141"/>
      <c r="AQ37" s="141"/>
      <c r="AR37" s="142"/>
      <c r="AS37" s="143">
        <f t="shared" ref="AS37" si="23">SUM(AS28:AW35)</f>
        <v>0.85699999999999998</v>
      </c>
      <c r="AT37" s="141"/>
      <c r="AU37" s="141"/>
      <c r="AV37" s="141"/>
      <c r="AW37" s="142"/>
      <c r="AX37" s="143">
        <f t="shared" ref="AX37" si="24">SUM(AX28:BB35)</f>
        <v>900</v>
      </c>
      <c r="AY37" s="141"/>
      <c r="AZ37" s="141"/>
      <c r="BA37" s="141"/>
      <c r="BB37" s="142"/>
      <c r="BC37" s="143"/>
      <c r="BD37" s="141"/>
      <c r="BE37" s="141"/>
      <c r="BF37" s="141"/>
      <c r="BG37" s="142"/>
      <c r="BH37" s="143"/>
      <c r="BI37" s="141"/>
      <c r="BJ37" s="141"/>
      <c r="BK37" s="141"/>
      <c r="BL37" s="142"/>
      <c r="BM37" s="143"/>
      <c r="BN37" s="141"/>
      <c r="BO37" s="141"/>
      <c r="BP37" s="141"/>
      <c r="BQ37" s="142"/>
      <c r="BR37" s="143"/>
      <c r="BS37" s="141"/>
      <c r="BT37" s="141"/>
      <c r="BU37" s="141"/>
      <c r="BV37" s="142"/>
      <c r="BW37" s="143"/>
      <c r="BX37" s="141"/>
      <c r="BY37" s="141"/>
      <c r="BZ37" s="141"/>
      <c r="CA37" s="142"/>
      <c r="CB37" s="143"/>
      <c r="CC37" s="141"/>
      <c r="CD37" s="141"/>
      <c r="CE37" s="141"/>
      <c r="CF37" s="142"/>
      <c r="CG37" s="143"/>
      <c r="CH37" s="141"/>
      <c r="CI37" s="141"/>
      <c r="CJ37" s="141"/>
      <c r="CK37" s="142"/>
      <c r="CL37" s="143"/>
      <c r="CM37" s="141"/>
      <c r="CN37" s="141"/>
      <c r="CO37" s="141"/>
      <c r="CP37" s="142"/>
      <c r="CQ37" s="143"/>
      <c r="CR37" s="141"/>
      <c r="CS37" s="141"/>
      <c r="CT37" s="141"/>
      <c r="CU37" s="142"/>
      <c r="CV37" s="143"/>
      <c r="CW37" s="141"/>
      <c r="CX37" s="141"/>
      <c r="CY37" s="141"/>
      <c r="CZ37" s="142"/>
      <c r="DA37" s="143"/>
      <c r="DB37" s="141"/>
      <c r="DC37" s="141"/>
      <c r="DD37" s="141"/>
      <c r="DE37" s="142"/>
      <c r="DF37" s="143"/>
      <c r="DG37" s="141"/>
      <c r="DH37" s="141"/>
      <c r="DI37" s="141"/>
      <c r="DJ37" s="162"/>
      <c r="DK37" s="66"/>
      <c r="DL37" s="140"/>
      <c r="DM37" s="141"/>
      <c r="DN37" s="141"/>
      <c r="DO37" s="141"/>
      <c r="DP37" s="141"/>
      <c r="DQ37" s="141"/>
      <c r="DR37" s="142"/>
      <c r="DS37" s="143"/>
      <c r="DT37" s="141"/>
      <c r="DU37" s="141"/>
      <c r="DV37" s="141"/>
      <c r="DW37" s="142"/>
      <c r="DX37" s="126"/>
      <c r="DY37" s="123"/>
      <c r="DZ37" s="123"/>
      <c r="EA37" s="123"/>
      <c r="EB37" s="124"/>
    </row>
    <row r="38" spans="1:134" x14ac:dyDescent="0.15">
      <c r="A38" s="53">
        <v>45</v>
      </c>
      <c r="B38" s="23"/>
      <c r="C38" s="145"/>
      <c r="D38" s="146"/>
      <c r="E38" s="146"/>
      <c r="F38" s="157"/>
      <c r="G38" s="125" t="s">
        <v>203</v>
      </c>
      <c r="H38" s="125"/>
      <c r="I38" s="125"/>
      <c r="J38" s="125"/>
      <c r="K38" s="125"/>
      <c r="L38" s="125"/>
      <c r="M38" s="125"/>
      <c r="N38" s="125"/>
      <c r="O38" s="123">
        <v>1</v>
      </c>
      <c r="P38" s="123"/>
      <c r="Q38" s="123"/>
      <c r="R38" s="123"/>
      <c r="S38" s="123"/>
      <c r="T38" s="123"/>
      <c r="U38" s="123"/>
      <c r="V38" s="123"/>
      <c r="W38" s="123"/>
      <c r="X38" s="144"/>
      <c r="Y38" s="126">
        <v>1.1000000000000001</v>
      </c>
      <c r="Z38" s="123"/>
      <c r="AA38" s="123"/>
      <c r="AB38" s="123"/>
      <c r="AC38" s="123"/>
      <c r="AD38" s="123"/>
      <c r="AE38" s="123"/>
      <c r="AF38" s="123"/>
      <c r="AG38" s="123"/>
      <c r="AH38" s="144"/>
      <c r="AI38" s="126">
        <v>1</v>
      </c>
      <c r="AJ38" s="123"/>
      <c r="AK38" s="123"/>
      <c r="AL38" s="123"/>
      <c r="AM38" s="123"/>
      <c r="AN38" s="123"/>
      <c r="AO38" s="123"/>
      <c r="AP38" s="123"/>
      <c r="AQ38" s="123"/>
      <c r="AR38" s="144"/>
      <c r="AS38" s="126">
        <v>1</v>
      </c>
      <c r="AT38" s="123"/>
      <c r="AU38" s="123"/>
      <c r="AV38" s="123"/>
      <c r="AW38" s="123"/>
      <c r="AX38" s="123"/>
      <c r="AY38" s="123"/>
      <c r="AZ38" s="123"/>
      <c r="BA38" s="123"/>
      <c r="BB38" s="144"/>
      <c r="BC38" s="126"/>
      <c r="BD38" s="123"/>
      <c r="BE38" s="123"/>
      <c r="BF38" s="123"/>
      <c r="BG38" s="123"/>
      <c r="BH38" s="123"/>
      <c r="BI38" s="123"/>
      <c r="BJ38" s="123"/>
      <c r="BK38" s="123"/>
      <c r="BL38" s="144"/>
      <c r="BM38" s="126"/>
      <c r="BN38" s="123"/>
      <c r="BO38" s="123"/>
      <c r="BP38" s="123"/>
      <c r="BQ38" s="123"/>
      <c r="BR38" s="123"/>
      <c r="BS38" s="123"/>
      <c r="BT38" s="123"/>
      <c r="BU38" s="123"/>
      <c r="BV38" s="144"/>
      <c r="BW38" s="126"/>
      <c r="BX38" s="123"/>
      <c r="BY38" s="123"/>
      <c r="BZ38" s="123"/>
      <c r="CA38" s="123"/>
      <c r="CB38" s="123"/>
      <c r="CC38" s="123"/>
      <c r="CD38" s="123"/>
      <c r="CE38" s="123"/>
      <c r="CF38" s="144"/>
      <c r="CG38" s="126"/>
      <c r="CH38" s="123"/>
      <c r="CI38" s="123"/>
      <c r="CJ38" s="123"/>
      <c r="CK38" s="123"/>
      <c r="CL38" s="123"/>
      <c r="CM38" s="123"/>
      <c r="CN38" s="123"/>
      <c r="CO38" s="123"/>
      <c r="CP38" s="144"/>
      <c r="CQ38" s="151"/>
      <c r="CR38" s="152"/>
      <c r="CS38" s="152"/>
      <c r="CT38" s="152"/>
      <c r="CU38" s="152"/>
      <c r="CV38" s="152"/>
      <c r="CW38" s="152"/>
      <c r="CX38" s="152"/>
      <c r="CY38" s="152"/>
      <c r="CZ38" s="153"/>
      <c r="DA38" s="126"/>
      <c r="DB38" s="123"/>
      <c r="DC38" s="123"/>
      <c r="DD38" s="123"/>
      <c r="DE38" s="123"/>
      <c r="DF38" s="123"/>
      <c r="DG38" s="123"/>
      <c r="DH38" s="123"/>
      <c r="DI38" s="123"/>
      <c r="DJ38" s="124"/>
      <c r="DK38" s="66"/>
      <c r="DL38" s="140"/>
      <c r="DM38" s="141"/>
      <c r="DN38" s="141"/>
      <c r="DO38" s="141"/>
      <c r="DP38" s="141"/>
      <c r="DQ38" s="141"/>
      <c r="DR38" s="142"/>
      <c r="DS38" s="143"/>
      <c r="DT38" s="141"/>
      <c r="DU38" s="141"/>
      <c r="DV38" s="141"/>
      <c r="DW38" s="142"/>
      <c r="DX38" s="126"/>
      <c r="DY38" s="123"/>
      <c r="DZ38" s="123"/>
      <c r="EA38" s="123"/>
      <c r="EB38" s="124"/>
    </row>
    <row r="39" spans="1:134" x14ac:dyDescent="0.15">
      <c r="A39" s="52">
        <v>46</v>
      </c>
      <c r="B39" s="23"/>
      <c r="C39" s="145"/>
      <c r="D39" s="146"/>
      <c r="E39" s="146"/>
      <c r="F39" s="157"/>
      <c r="G39" s="125" t="s">
        <v>183</v>
      </c>
      <c r="H39" s="125"/>
      <c r="I39" s="125"/>
      <c r="J39" s="125"/>
      <c r="K39" s="125"/>
      <c r="L39" s="125"/>
      <c r="M39" s="125"/>
      <c r="N39" s="125"/>
      <c r="O39" s="123">
        <v>30</v>
      </c>
      <c r="P39" s="123"/>
      <c r="Q39" s="123"/>
      <c r="R39" s="123"/>
      <c r="S39" s="123"/>
      <c r="T39" s="123"/>
      <c r="U39" s="123"/>
      <c r="V39" s="123"/>
      <c r="W39" s="123"/>
      <c r="X39" s="144"/>
      <c r="Y39" s="126">
        <v>30</v>
      </c>
      <c r="Z39" s="123"/>
      <c r="AA39" s="123"/>
      <c r="AB39" s="123"/>
      <c r="AC39" s="123"/>
      <c r="AD39" s="123"/>
      <c r="AE39" s="123"/>
      <c r="AF39" s="123"/>
      <c r="AG39" s="123"/>
      <c r="AH39" s="144"/>
      <c r="AI39" s="126">
        <v>30</v>
      </c>
      <c r="AJ39" s="123"/>
      <c r="AK39" s="123"/>
      <c r="AL39" s="123"/>
      <c r="AM39" s="123"/>
      <c r="AN39" s="123"/>
      <c r="AO39" s="123"/>
      <c r="AP39" s="123"/>
      <c r="AQ39" s="123"/>
      <c r="AR39" s="144"/>
      <c r="AS39" s="126">
        <v>30</v>
      </c>
      <c r="AT39" s="123"/>
      <c r="AU39" s="123"/>
      <c r="AV39" s="123"/>
      <c r="AW39" s="123"/>
      <c r="AX39" s="123"/>
      <c r="AY39" s="123"/>
      <c r="AZ39" s="123"/>
      <c r="BA39" s="123"/>
      <c r="BB39" s="144"/>
      <c r="BC39" s="126"/>
      <c r="BD39" s="123"/>
      <c r="BE39" s="123"/>
      <c r="BF39" s="123"/>
      <c r="BG39" s="123"/>
      <c r="BH39" s="123"/>
      <c r="BI39" s="123"/>
      <c r="BJ39" s="123"/>
      <c r="BK39" s="123"/>
      <c r="BL39" s="144"/>
      <c r="BM39" s="126"/>
      <c r="BN39" s="123"/>
      <c r="BO39" s="123"/>
      <c r="BP39" s="123"/>
      <c r="BQ39" s="123"/>
      <c r="BR39" s="123"/>
      <c r="BS39" s="123"/>
      <c r="BT39" s="123"/>
      <c r="BU39" s="123"/>
      <c r="BV39" s="144"/>
      <c r="BW39" s="126"/>
      <c r="BX39" s="123"/>
      <c r="BY39" s="123"/>
      <c r="BZ39" s="123"/>
      <c r="CA39" s="123"/>
      <c r="CB39" s="123"/>
      <c r="CC39" s="123"/>
      <c r="CD39" s="123"/>
      <c r="CE39" s="123"/>
      <c r="CF39" s="144"/>
      <c r="CG39" s="126"/>
      <c r="CH39" s="123"/>
      <c r="CI39" s="123"/>
      <c r="CJ39" s="123"/>
      <c r="CK39" s="123"/>
      <c r="CL39" s="123"/>
      <c r="CM39" s="123"/>
      <c r="CN39" s="123"/>
      <c r="CO39" s="123"/>
      <c r="CP39" s="144"/>
      <c r="CQ39" s="151"/>
      <c r="CR39" s="152"/>
      <c r="CS39" s="152"/>
      <c r="CT39" s="152"/>
      <c r="CU39" s="152"/>
      <c r="CV39" s="152"/>
      <c r="CW39" s="152"/>
      <c r="CX39" s="152"/>
      <c r="CY39" s="152"/>
      <c r="CZ39" s="153"/>
      <c r="DA39" s="126"/>
      <c r="DB39" s="123"/>
      <c r="DC39" s="123"/>
      <c r="DD39" s="123"/>
      <c r="DE39" s="123"/>
      <c r="DF39" s="123"/>
      <c r="DG39" s="123"/>
      <c r="DH39" s="123"/>
      <c r="DI39" s="123"/>
      <c r="DJ39" s="124"/>
      <c r="DK39" s="66"/>
      <c r="DL39" s="140"/>
      <c r="DM39" s="141"/>
      <c r="DN39" s="141"/>
      <c r="DO39" s="141"/>
      <c r="DP39" s="141"/>
      <c r="DQ39" s="141"/>
      <c r="DR39" s="142"/>
      <c r="DS39" s="143"/>
      <c r="DT39" s="141"/>
      <c r="DU39" s="141"/>
      <c r="DV39" s="141"/>
      <c r="DW39" s="142"/>
      <c r="DX39" s="126"/>
      <c r="DY39" s="123"/>
      <c r="DZ39" s="123"/>
      <c r="EA39" s="123"/>
      <c r="EB39" s="124"/>
      <c r="ED39" s="75"/>
    </row>
    <row r="40" spans="1:134" x14ac:dyDescent="0.15">
      <c r="A40" s="53">
        <v>47</v>
      </c>
      <c r="B40" s="23"/>
      <c r="C40" s="145"/>
      <c r="D40" s="146"/>
      <c r="E40" s="146"/>
      <c r="F40" s="146"/>
      <c r="G40" s="125" t="s">
        <v>182</v>
      </c>
      <c r="H40" s="125"/>
      <c r="I40" s="125"/>
      <c r="J40" s="125"/>
      <c r="K40" s="125"/>
      <c r="L40" s="125"/>
      <c r="M40" s="125"/>
      <c r="N40" s="125"/>
      <c r="O40" s="155">
        <v>30.3</v>
      </c>
      <c r="P40" s="155"/>
      <c r="Q40" s="155"/>
      <c r="R40" s="155"/>
      <c r="S40" s="155"/>
      <c r="T40" s="155"/>
      <c r="U40" s="155"/>
      <c r="V40" s="155"/>
      <c r="W40" s="155"/>
      <c r="X40" s="158"/>
      <c r="Y40" s="154">
        <v>125.4</v>
      </c>
      <c r="Z40" s="155"/>
      <c r="AA40" s="155"/>
      <c r="AB40" s="155"/>
      <c r="AC40" s="155"/>
      <c r="AD40" s="155"/>
      <c r="AE40" s="155"/>
      <c r="AF40" s="155"/>
      <c r="AG40" s="155"/>
      <c r="AH40" s="158"/>
      <c r="AI40" s="154">
        <v>125.4</v>
      </c>
      <c r="AJ40" s="155"/>
      <c r="AK40" s="155"/>
      <c r="AL40" s="155"/>
      <c r="AM40" s="155"/>
      <c r="AN40" s="155"/>
      <c r="AO40" s="155"/>
      <c r="AP40" s="155"/>
      <c r="AQ40" s="155"/>
      <c r="AR40" s="158"/>
      <c r="AS40" s="154">
        <v>125.4</v>
      </c>
      <c r="AT40" s="155"/>
      <c r="AU40" s="155"/>
      <c r="AV40" s="155"/>
      <c r="AW40" s="155"/>
      <c r="AX40" s="155"/>
      <c r="AY40" s="155"/>
      <c r="AZ40" s="155"/>
      <c r="BA40" s="155"/>
      <c r="BB40" s="158"/>
      <c r="BC40" s="154"/>
      <c r="BD40" s="155"/>
      <c r="BE40" s="155"/>
      <c r="BF40" s="155"/>
      <c r="BG40" s="155"/>
      <c r="BH40" s="155"/>
      <c r="BI40" s="155"/>
      <c r="BJ40" s="155"/>
      <c r="BK40" s="155"/>
      <c r="BL40" s="158"/>
      <c r="BM40" s="154"/>
      <c r="BN40" s="155"/>
      <c r="BO40" s="155"/>
      <c r="BP40" s="155"/>
      <c r="BQ40" s="155"/>
      <c r="BR40" s="155"/>
      <c r="BS40" s="155"/>
      <c r="BT40" s="155"/>
      <c r="BU40" s="155"/>
      <c r="BV40" s="158"/>
      <c r="BW40" s="154"/>
      <c r="BX40" s="155"/>
      <c r="BY40" s="155"/>
      <c r="BZ40" s="155"/>
      <c r="CA40" s="155"/>
      <c r="CB40" s="155"/>
      <c r="CC40" s="155"/>
      <c r="CD40" s="155"/>
      <c r="CE40" s="155"/>
      <c r="CF40" s="158"/>
      <c r="CG40" s="154"/>
      <c r="CH40" s="155"/>
      <c r="CI40" s="155"/>
      <c r="CJ40" s="155"/>
      <c r="CK40" s="155"/>
      <c r="CL40" s="155"/>
      <c r="CM40" s="155"/>
      <c r="CN40" s="155"/>
      <c r="CO40" s="155"/>
      <c r="CP40" s="158"/>
      <c r="CQ40" s="159"/>
      <c r="CR40" s="160"/>
      <c r="CS40" s="160"/>
      <c r="CT40" s="160"/>
      <c r="CU40" s="160"/>
      <c r="CV40" s="160"/>
      <c r="CW40" s="160"/>
      <c r="CX40" s="160"/>
      <c r="CY40" s="160"/>
      <c r="CZ40" s="161"/>
      <c r="DA40" s="154"/>
      <c r="DB40" s="155"/>
      <c r="DC40" s="155"/>
      <c r="DD40" s="155"/>
      <c r="DE40" s="155"/>
      <c r="DF40" s="155"/>
      <c r="DG40" s="155"/>
      <c r="DH40" s="155"/>
      <c r="DI40" s="155"/>
      <c r="DJ40" s="156"/>
      <c r="DK40" s="66"/>
      <c r="DL40" s="140"/>
      <c r="DM40" s="141"/>
      <c r="DN40" s="141"/>
      <c r="DO40" s="141"/>
      <c r="DP40" s="141"/>
      <c r="DQ40" s="141"/>
      <c r="DR40" s="142"/>
      <c r="DS40" s="143"/>
      <c r="DT40" s="141"/>
      <c r="DU40" s="141"/>
      <c r="DV40" s="141"/>
      <c r="DW40" s="142"/>
      <c r="DX40" s="126"/>
      <c r="DY40" s="123"/>
      <c r="DZ40" s="123"/>
      <c r="EA40" s="123"/>
      <c r="EB40" s="124"/>
    </row>
    <row r="41" spans="1:134" x14ac:dyDescent="0.15">
      <c r="A41" s="53">
        <v>48</v>
      </c>
      <c r="B41" s="23"/>
      <c r="C41" s="145"/>
      <c r="D41" s="146"/>
      <c r="E41" s="146"/>
      <c r="F41" s="157"/>
      <c r="G41" s="84"/>
      <c r="H41" s="85"/>
      <c r="I41" s="85"/>
      <c r="J41" s="85"/>
      <c r="K41" s="85"/>
      <c r="L41" s="85"/>
      <c r="M41" s="85"/>
      <c r="N41" s="85"/>
      <c r="O41" s="86"/>
      <c r="P41" s="85"/>
      <c r="Q41" s="85"/>
      <c r="R41" s="85"/>
      <c r="S41" s="85"/>
      <c r="T41" s="85"/>
      <c r="U41" s="85"/>
      <c r="V41" s="85"/>
      <c r="W41" s="85"/>
      <c r="X41" s="85"/>
      <c r="Y41" s="85"/>
      <c r="Z41" s="85"/>
      <c r="AA41" s="85"/>
      <c r="AB41" s="85"/>
      <c r="AC41" s="85"/>
      <c r="AD41" s="85"/>
      <c r="AE41" s="62"/>
      <c r="AF41" s="85"/>
      <c r="AG41" s="85"/>
      <c r="AH41" s="85"/>
      <c r="AI41" s="85"/>
      <c r="AJ41" s="85"/>
      <c r="AK41" s="85"/>
      <c r="AL41" s="85"/>
      <c r="AM41" s="85"/>
      <c r="AN41" s="85"/>
      <c r="AO41" s="85"/>
      <c r="AP41" s="85"/>
      <c r="AQ41" s="85"/>
      <c r="AR41" s="85"/>
      <c r="AS41" s="85"/>
      <c r="AT41" s="85"/>
      <c r="AU41" s="85"/>
      <c r="AV41" s="85"/>
      <c r="AW41" s="85"/>
      <c r="AX41" s="85"/>
      <c r="AY41" s="85"/>
      <c r="AZ41" s="85"/>
      <c r="BA41" s="12"/>
      <c r="BB41" s="85"/>
      <c r="BC41" s="85"/>
      <c r="BD41" s="62"/>
      <c r="BE41" s="62"/>
      <c r="BF41" s="62"/>
      <c r="BG41" s="62"/>
      <c r="BH41" s="62"/>
      <c r="BI41" s="62"/>
      <c r="BJ41" s="62"/>
      <c r="BK41" s="62"/>
      <c r="BL41" s="62"/>
      <c r="BM41" s="62"/>
      <c r="BN41" s="62"/>
      <c r="BO41" s="62"/>
      <c r="BP41" s="62"/>
      <c r="BQ41" s="62"/>
      <c r="BR41" s="62"/>
      <c r="BS41" s="62"/>
      <c r="BT41" s="62"/>
      <c r="BU41" s="62"/>
      <c r="BV41" s="62"/>
      <c r="BW41" s="62"/>
      <c r="BX41" s="62"/>
      <c r="BY41" s="62"/>
      <c r="BZ41" s="62"/>
      <c r="CA41" s="62"/>
      <c r="CB41" s="62"/>
      <c r="CC41" s="62"/>
      <c r="CD41" s="62"/>
      <c r="CE41" s="62"/>
      <c r="CF41" s="62"/>
      <c r="CG41" s="62"/>
      <c r="CH41" s="62"/>
      <c r="CI41" s="62"/>
      <c r="CJ41" s="62"/>
      <c r="CK41" s="62"/>
      <c r="CL41" s="62"/>
      <c r="CM41" s="62"/>
      <c r="CN41" s="62"/>
      <c r="CO41" s="62"/>
      <c r="CP41" s="62"/>
      <c r="CQ41" s="62"/>
      <c r="CR41" s="62"/>
      <c r="CS41" s="62"/>
      <c r="CT41" s="62"/>
      <c r="CU41" s="62"/>
      <c r="CV41" s="62"/>
      <c r="CW41" s="62"/>
      <c r="CX41" s="62"/>
      <c r="CY41" s="62"/>
      <c r="CZ41" s="62"/>
      <c r="DA41" s="62"/>
      <c r="DB41" s="85"/>
      <c r="DC41" s="85"/>
      <c r="DD41" s="85"/>
      <c r="DE41" s="85"/>
      <c r="DF41" s="85"/>
      <c r="DG41" s="85"/>
      <c r="DH41" s="85"/>
      <c r="DI41" s="85"/>
      <c r="DJ41" s="62"/>
      <c r="DK41" s="57"/>
      <c r="DL41" s="140"/>
      <c r="DM41" s="141"/>
      <c r="DN41" s="141"/>
      <c r="DO41" s="141"/>
      <c r="DP41" s="141"/>
      <c r="DQ41" s="141"/>
      <c r="DR41" s="142"/>
      <c r="DS41" s="143"/>
      <c r="DT41" s="141"/>
      <c r="DU41" s="141"/>
      <c r="DV41" s="141"/>
      <c r="DW41" s="142"/>
      <c r="DX41" s="126"/>
      <c r="DY41" s="123"/>
      <c r="DZ41" s="123"/>
      <c r="EA41" s="123"/>
      <c r="EB41" s="124"/>
    </row>
    <row r="42" spans="1:134" x14ac:dyDescent="0.15">
      <c r="A42" s="53">
        <v>49</v>
      </c>
      <c r="B42" s="23"/>
      <c r="C42" s="145"/>
      <c r="D42" s="146"/>
      <c r="E42" s="146"/>
      <c r="F42" s="146"/>
      <c r="G42" s="147"/>
      <c r="H42" s="148"/>
      <c r="I42" s="148"/>
      <c r="J42" s="148"/>
      <c r="K42" s="148"/>
      <c r="L42" s="148"/>
      <c r="M42" s="148"/>
      <c r="N42" s="148"/>
      <c r="O42" s="148"/>
      <c r="P42" s="148"/>
      <c r="Q42" s="148"/>
      <c r="R42" s="148"/>
      <c r="S42" s="148"/>
      <c r="T42" s="148"/>
      <c r="U42" s="148"/>
      <c r="V42" s="148"/>
      <c r="W42" s="148"/>
      <c r="X42" s="148"/>
      <c r="Y42" s="148"/>
      <c r="Z42" s="148"/>
      <c r="AA42" s="148"/>
      <c r="AB42" s="148"/>
      <c r="AC42" s="148"/>
      <c r="AD42" s="150"/>
      <c r="AE42" s="66"/>
      <c r="AF42" s="147"/>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50"/>
      <c r="BD42" s="50"/>
      <c r="BE42" s="147"/>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50"/>
      <c r="CC42" s="41"/>
      <c r="CD42" s="147"/>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9"/>
      <c r="DC42" s="148"/>
      <c r="DD42" s="148"/>
      <c r="DE42" s="148"/>
      <c r="DF42" s="148"/>
      <c r="DG42" s="148"/>
      <c r="DH42" s="148"/>
      <c r="DI42" s="150"/>
      <c r="DJ42" s="50"/>
      <c r="DK42" s="57"/>
      <c r="DL42" s="140"/>
      <c r="DM42" s="141"/>
      <c r="DN42" s="141"/>
      <c r="DO42" s="141"/>
      <c r="DP42" s="141"/>
      <c r="DQ42" s="141"/>
      <c r="DR42" s="142"/>
      <c r="DS42" s="143"/>
      <c r="DT42" s="141"/>
      <c r="DU42" s="141"/>
      <c r="DV42" s="141"/>
      <c r="DW42" s="142"/>
      <c r="DX42" s="126"/>
      <c r="DY42" s="123"/>
      <c r="DZ42" s="123"/>
      <c r="EA42" s="123"/>
      <c r="EB42" s="124"/>
    </row>
    <row r="43" spans="1:134" x14ac:dyDescent="0.15">
      <c r="A43" s="53">
        <v>50</v>
      </c>
      <c r="B43" s="23"/>
      <c r="C43" s="145"/>
      <c r="D43" s="146"/>
      <c r="E43" s="146"/>
      <c r="F43" s="146"/>
      <c r="G43" s="122"/>
      <c r="H43" s="123"/>
      <c r="I43" s="123"/>
      <c r="J43" s="123"/>
      <c r="K43" s="123"/>
      <c r="L43" s="123"/>
      <c r="M43" s="123"/>
      <c r="N43" s="123"/>
      <c r="O43" s="123"/>
      <c r="P43" s="123"/>
      <c r="Q43" s="123"/>
      <c r="R43" s="123"/>
      <c r="S43" s="123"/>
      <c r="T43" s="123"/>
      <c r="U43" s="123"/>
      <c r="V43" s="144"/>
      <c r="W43" s="126"/>
      <c r="X43" s="123"/>
      <c r="Y43" s="123"/>
      <c r="Z43" s="123"/>
      <c r="AA43" s="123"/>
      <c r="AB43" s="123"/>
      <c r="AC43" s="123"/>
      <c r="AD43" s="124"/>
      <c r="AE43" s="66"/>
      <c r="AF43" s="122"/>
      <c r="AG43" s="123"/>
      <c r="AH43" s="123"/>
      <c r="AI43" s="123"/>
      <c r="AJ43" s="123"/>
      <c r="AK43" s="123"/>
      <c r="AL43" s="123"/>
      <c r="AM43" s="123"/>
      <c r="AN43" s="123"/>
      <c r="AO43" s="123"/>
      <c r="AP43" s="123"/>
      <c r="AQ43" s="123"/>
      <c r="AR43" s="123"/>
      <c r="AS43" s="123"/>
      <c r="AT43" s="123"/>
      <c r="AU43" s="144"/>
      <c r="AV43" s="126"/>
      <c r="AW43" s="123"/>
      <c r="AX43" s="123"/>
      <c r="AY43" s="123"/>
      <c r="AZ43" s="123"/>
      <c r="BA43" s="123"/>
      <c r="BB43" s="123"/>
      <c r="BC43" s="124"/>
      <c r="BD43" s="50"/>
      <c r="BE43" s="122"/>
      <c r="BF43" s="123"/>
      <c r="BG43" s="123"/>
      <c r="BH43" s="123"/>
      <c r="BI43" s="123"/>
      <c r="BJ43" s="123"/>
      <c r="BK43" s="123"/>
      <c r="BL43" s="123"/>
      <c r="BM43" s="123"/>
      <c r="BN43" s="123"/>
      <c r="BO43" s="123"/>
      <c r="BP43" s="123"/>
      <c r="BQ43" s="123"/>
      <c r="BR43" s="123"/>
      <c r="BS43" s="123"/>
      <c r="BT43" s="144"/>
      <c r="BU43" s="126"/>
      <c r="BV43" s="123"/>
      <c r="BW43" s="123"/>
      <c r="BX43" s="123"/>
      <c r="BY43" s="123"/>
      <c r="BZ43" s="123"/>
      <c r="CA43" s="123"/>
      <c r="CB43" s="124"/>
      <c r="CC43" s="41"/>
      <c r="CD43" s="122"/>
      <c r="CE43" s="123"/>
      <c r="CF43" s="123"/>
      <c r="CG43" s="123"/>
      <c r="CH43" s="123"/>
      <c r="CI43" s="123"/>
      <c r="CJ43" s="123"/>
      <c r="CK43" s="123"/>
      <c r="CL43" s="123"/>
      <c r="CM43" s="123"/>
      <c r="CN43" s="123"/>
      <c r="CO43" s="123"/>
      <c r="CP43" s="123"/>
      <c r="CQ43" s="123"/>
      <c r="CR43" s="123"/>
      <c r="CS43" s="144"/>
      <c r="CT43" s="126"/>
      <c r="CU43" s="123"/>
      <c r="CV43" s="123"/>
      <c r="CW43" s="123"/>
      <c r="CX43" s="123"/>
      <c r="CY43" s="123"/>
      <c r="CZ43" s="123"/>
      <c r="DA43" s="123"/>
      <c r="DB43" s="126"/>
      <c r="DC43" s="123"/>
      <c r="DD43" s="123"/>
      <c r="DE43" s="123"/>
      <c r="DF43" s="123"/>
      <c r="DG43" s="123"/>
      <c r="DH43" s="123"/>
      <c r="DI43" s="124"/>
      <c r="DJ43" s="50"/>
      <c r="DK43" s="57"/>
      <c r="DL43" s="140"/>
      <c r="DM43" s="141"/>
      <c r="DN43" s="141"/>
      <c r="DO43" s="141"/>
      <c r="DP43" s="141"/>
      <c r="DQ43" s="141"/>
      <c r="DR43" s="142"/>
      <c r="DS43" s="143"/>
      <c r="DT43" s="141"/>
      <c r="DU43" s="141"/>
      <c r="DV43" s="141"/>
      <c r="DW43" s="142"/>
      <c r="DX43" s="126"/>
      <c r="DY43" s="123"/>
      <c r="DZ43" s="123"/>
      <c r="EA43" s="123"/>
      <c r="EB43" s="124"/>
    </row>
    <row r="44" spans="1:134" x14ac:dyDescent="0.15">
      <c r="A44" s="52">
        <v>51</v>
      </c>
      <c r="B44" s="23"/>
      <c r="C44" s="145"/>
      <c r="D44" s="146"/>
      <c r="E44" s="146"/>
      <c r="F44" s="146"/>
      <c r="G44" s="122"/>
      <c r="H44" s="123"/>
      <c r="I44" s="123"/>
      <c r="J44" s="123"/>
      <c r="K44" s="123"/>
      <c r="L44" s="123"/>
      <c r="M44" s="123"/>
      <c r="N44" s="144"/>
      <c r="O44" s="126"/>
      <c r="P44" s="123"/>
      <c r="Q44" s="123"/>
      <c r="R44" s="123"/>
      <c r="S44" s="123"/>
      <c r="T44" s="123"/>
      <c r="U44" s="123"/>
      <c r="V44" s="144"/>
      <c r="W44" s="126"/>
      <c r="X44" s="123"/>
      <c r="Y44" s="123"/>
      <c r="Z44" s="123"/>
      <c r="AA44" s="123"/>
      <c r="AB44" s="123"/>
      <c r="AC44" s="123"/>
      <c r="AD44" s="124"/>
      <c r="AE44" s="66"/>
      <c r="AF44" s="122"/>
      <c r="AG44" s="123"/>
      <c r="AH44" s="123"/>
      <c r="AI44" s="123"/>
      <c r="AJ44" s="123"/>
      <c r="AK44" s="123"/>
      <c r="AL44" s="123"/>
      <c r="AM44" s="144"/>
      <c r="AN44" s="143"/>
      <c r="AO44" s="123"/>
      <c r="AP44" s="123"/>
      <c r="AQ44" s="123"/>
      <c r="AR44" s="123"/>
      <c r="AS44" s="123"/>
      <c r="AT44" s="123"/>
      <c r="AU44" s="144"/>
      <c r="AV44" s="126"/>
      <c r="AW44" s="123"/>
      <c r="AX44" s="123"/>
      <c r="AY44" s="123"/>
      <c r="AZ44" s="123"/>
      <c r="BA44" s="123"/>
      <c r="BB44" s="123"/>
      <c r="BC44" s="124"/>
      <c r="BD44" s="50"/>
      <c r="BE44" s="122"/>
      <c r="BF44" s="123"/>
      <c r="BG44" s="123"/>
      <c r="BH44" s="123"/>
      <c r="BI44" s="123"/>
      <c r="BJ44" s="123"/>
      <c r="BK44" s="123"/>
      <c r="BL44" s="144"/>
      <c r="BM44" s="143"/>
      <c r="BN44" s="123"/>
      <c r="BO44" s="123"/>
      <c r="BP44" s="123"/>
      <c r="BQ44" s="123"/>
      <c r="BR44" s="123"/>
      <c r="BS44" s="123"/>
      <c r="BT44" s="144"/>
      <c r="BU44" s="126"/>
      <c r="BV44" s="123"/>
      <c r="BW44" s="123"/>
      <c r="BX44" s="123"/>
      <c r="BY44" s="123"/>
      <c r="BZ44" s="123"/>
      <c r="CA44" s="123"/>
      <c r="CB44" s="124"/>
      <c r="CC44" s="41"/>
      <c r="CD44" s="122"/>
      <c r="CE44" s="123"/>
      <c r="CF44" s="123"/>
      <c r="CG44" s="123"/>
      <c r="CH44" s="123"/>
      <c r="CI44" s="123"/>
      <c r="CJ44" s="123"/>
      <c r="CK44" s="144"/>
      <c r="CL44" s="143"/>
      <c r="CM44" s="123"/>
      <c r="CN44" s="123"/>
      <c r="CO44" s="123"/>
      <c r="CP44" s="123"/>
      <c r="CQ44" s="123"/>
      <c r="CR44" s="123"/>
      <c r="CS44" s="144"/>
      <c r="CT44" s="126"/>
      <c r="CU44" s="123"/>
      <c r="CV44" s="123"/>
      <c r="CW44" s="123"/>
      <c r="CX44" s="123"/>
      <c r="CY44" s="123"/>
      <c r="CZ44" s="123"/>
      <c r="DA44" s="123"/>
      <c r="DB44" s="126"/>
      <c r="DC44" s="123"/>
      <c r="DD44" s="123"/>
      <c r="DE44" s="123"/>
      <c r="DF44" s="123"/>
      <c r="DG44" s="123"/>
      <c r="DH44" s="123"/>
      <c r="DI44" s="124"/>
      <c r="DJ44" s="50"/>
      <c r="DK44" s="57"/>
      <c r="DL44" s="140"/>
      <c r="DM44" s="141"/>
      <c r="DN44" s="141"/>
      <c r="DO44" s="141"/>
      <c r="DP44" s="141"/>
      <c r="DQ44" s="141"/>
      <c r="DR44" s="142"/>
      <c r="DS44" s="143"/>
      <c r="DT44" s="141"/>
      <c r="DU44" s="141"/>
      <c r="DV44" s="141"/>
      <c r="DW44" s="142"/>
      <c r="DX44" s="126"/>
      <c r="DY44" s="123"/>
      <c r="DZ44" s="123"/>
      <c r="EA44" s="123"/>
      <c r="EB44" s="124"/>
    </row>
    <row r="45" spans="1:134" x14ac:dyDescent="0.15">
      <c r="A45" s="53">
        <v>52</v>
      </c>
      <c r="B45" s="23"/>
      <c r="C45" s="145"/>
      <c r="D45" s="146"/>
      <c r="E45" s="146"/>
      <c r="F45" s="146"/>
      <c r="G45" s="122"/>
      <c r="H45" s="123"/>
      <c r="I45" s="123"/>
      <c r="J45" s="123"/>
      <c r="K45" s="123"/>
      <c r="L45" s="123"/>
      <c r="M45" s="123"/>
      <c r="N45" s="144"/>
      <c r="O45" s="126"/>
      <c r="P45" s="123"/>
      <c r="Q45" s="123"/>
      <c r="R45" s="123"/>
      <c r="S45" s="123"/>
      <c r="T45" s="123"/>
      <c r="U45" s="123"/>
      <c r="V45" s="144"/>
      <c r="W45" s="126"/>
      <c r="X45" s="123"/>
      <c r="Y45" s="123"/>
      <c r="Z45" s="123"/>
      <c r="AA45" s="123"/>
      <c r="AB45" s="123"/>
      <c r="AC45" s="123"/>
      <c r="AD45" s="124"/>
      <c r="AE45" s="66"/>
      <c r="AF45" s="122"/>
      <c r="AG45" s="123"/>
      <c r="AH45" s="123"/>
      <c r="AI45" s="123"/>
      <c r="AJ45" s="123"/>
      <c r="AK45" s="123"/>
      <c r="AL45" s="123"/>
      <c r="AM45" s="144"/>
      <c r="AN45" s="143"/>
      <c r="AO45" s="123"/>
      <c r="AP45" s="123"/>
      <c r="AQ45" s="123"/>
      <c r="AR45" s="123"/>
      <c r="AS45" s="123"/>
      <c r="AT45" s="123"/>
      <c r="AU45" s="144"/>
      <c r="AV45" s="126"/>
      <c r="AW45" s="123"/>
      <c r="AX45" s="123"/>
      <c r="AY45" s="123"/>
      <c r="AZ45" s="123"/>
      <c r="BA45" s="123"/>
      <c r="BB45" s="123"/>
      <c r="BC45" s="124"/>
      <c r="BD45" s="50"/>
      <c r="BE45" s="122"/>
      <c r="BF45" s="123"/>
      <c r="BG45" s="123"/>
      <c r="BH45" s="123"/>
      <c r="BI45" s="123"/>
      <c r="BJ45" s="123"/>
      <c r="BK45" s="123"/>
      <c r="BL45" s="144"/>
      <c r="BM45" s="143"/>
      <c r="BN45" s="123"/>
      <c r="BO45" s="123"/>
      <c r="BP45" s="123"/>
      <c r="BQ45" s="123"/>
      <c r="BR45" s="123"/>
      <c r="BS45" s="123"/>
      <c r="BT45" s="144"/>
      <c r="BU45" s="126"/>
      <c r="BV45" s="123"/>
      <c r="BW45" s="123"/>
      <c r="BX45" s="123"/>
      <c r="BY45" s="123"/>
      <c r="BZ45" s="123"/>
      <c r="CA45" s="123"/>
      <c r="CB45" s="124"/>
      <c r="CC45" s="41"/>
      <c r="CD45" s="122"/>
      <c r="CE45" s="123"/>
      <c r="CF45" s="123"/>
      <c r="CG45" s="123"/>
      <c r="CH45" s="123"/>
      <c r="CI45" s="123"/>
      <c r="CJ45" s="123"/>
      <c r="CK45" s="144"/>
      <c r="CL45" s="143"/>
      <c r="CM45" s="123"/>
      <c r="CN45" s="123"/>
      <c r="CO45" s="123"/>
      <c r="CP45" s="123"/>
      <c r="CQ45" s="123"/>
      <c r="CR45" s="123"/>
      <c r="CS45" s="144"/>
      <c r="CT45" s="126"/>
      <c r="CU45" s="123"/>
      <c r="CV45" s="123"/>
      <c r="CW45" s="123"/>
      <c r="CX45" s="123"/>
      <c r="CY45" s="123"/>
      <c r="CZ45" s="123"/>
      <c r="DA45" s="123"/>
      <c r="DB45" s="126"/>
      <c r="DC45" s="123"/>
      <c r="DD45" s="123"/>
      <c r="DE45" s="123"/>
      <c r="DF45" s="123"/>
      <c r="DG45" s="123"/>
      <c r="DH45" s="123"/>
      <c r="DI45" s="124"/>
      <c r="DJ45" s="50"/>
      <c r="DK45" s="57"/>
      <c r="DL45" s="140"/>
      <c r="DM45" s="141"/>
      <c r="DN45" s="141"/>
      <c r="DO45" s="141"/>
      <c r="DP45" s="141"/>
      <c r="DQ45" s="141"/>
      <c r="DR45" s="142"/>
      <c r="DS45" s="143"/>
      <c r="DT45" s="141"/>
      <c r="DU45" s="141"/>
      <c r="DV45" s="141"/>
      <c r="DW45" s="142"/>
      <c r="DX45" s="126"/>
      <c r="DY45" s="123"/>
      <c r="DZ45" s="123"/>
      <c r="EA45" s="123"/>
      <c r="EB45" s="124"/>
    </row>
    <row r="46" spans="1:134" x14ac:dyDescent="0.15">
      <c r="A46" s="53">
        <v>53</v>
      </c>
      <c r="B46" s="23"/>
      <c r="C46" s="145"/>
      <c r="D46" s="146"/>
      <c r="E46" s="146"/>
      <c r="F46" s="146"/>
      <c r="G46" s="122"/>
      <c r="H46" s="123"/>
      <c r="I46" s="123"/>
      <c r="J46" s="123"/>
      <c r="K46" s="123"/>
      <c r="L46" s="123"/>
      <c r="M46" s="123"/>
      <c r="N46" s="144"/>
      <c r="O46" s="126"/>
      <c r="P46" s="123"/>
      <c r="Q46" s="123"/>
      <c r="R46" s="123"/>
      <c r="S46" s="123"/>
      <c r="T46" s="123"/>
      <c r="U46" s="123"/>
      <c r="V46" s="144"/>
      <c r="W46" s="126"/>
      <c r="X46" s="123"/>
      <c r="Y46" s="123"/>
      <c r="Z46" s="123"/>
      <c r="AA46" s="123"/>
      <c r="AB46" s="123"/>
      <c r="AC46" s="123"/>
      <c r="AD46" s="124"/>
      <c r="AE46" s="66"/>
      <c r="AF46" s="122"/>
      <c r="AG46" s="123"/>
      <c r="AH46" s="123"/>
      <c r="AI46" s="123"/>
      <c r="AJ46" s="123"/>
      <c r="AK46" s="123"/>
      <c r="AL46" s="123"/>
      <c r="AM46" s="144"/>
      <c r="AN46" s="143"/>
      <c r="AO46" s="123"/>
      <c r="AP46" s="123"/>
      <c r="AQ46" s="123"/>
      <c r="AR46" s="123"/>
      <c r="AS46" s="123"/>
      <c r="AT46" s="123"/>
      <c r="AU46" s="144"/>
      <c r="AV46" s="126"/>
      <c r="AW46" s="123"/>
      <c r="AX46" s="123"/>
      <c r="AY46" s="123"/>
      <c r="AZ46" s="123"/>
      <c r="BA46" s="123"/>
      <c r="BB46" s="123"/>
      <c r="BC46" s="124"/>
      <c r="BD46" s="50"/>
      <c r="BE46" s="122"/>
      <c r="BF46" s="123"/>
      <c r="BG46" s="123"/>
      <c r="BH46" s="123"/>
      <c r="BI46" s="123"/>
      <c r="BJ46" s="123"/>
      <c r="BK46" s="123"/>
      <c r="BL46" s="144"/>
      <c r="BM46" s="143"/>
      <c r="BN46" s="123"/>
      <c r="BO46" s="123"/>
      <c r="BP46" s="123"/>
      <c r="BQ46" s="123"/>
      <c r="BR46" s="123"/>
      <c r="BS46" s="123"/>
      <c r="BT46" s="144"/>
      <c r="BU46" s="126"/>
      <c r="BV46" s="123"/>
      <c r="BW46" s="123"/>
      <c r="BX46" s="123"/>
      <c r="BY46" s="123"/>
      <c r="BZ46" s="123"/>
      <c r="CA46" s="123"/>
      <c r="CB46" s="124"/>
      <c r="CC46" s="41"/>
      <c r="CD46" s="122"/>
      <c r="CE46" s="123"/>
      <c r="CF46" s="123"/>
      <c r="CG46" s="123"/>
      <c r="CH46" s="123"/>
      <c r="CI46" s="123"/>
      <c r="CJ46" s="123"/>
      <c r="CK46" s="144"/>
      <c r="CL46" s="143"/>
      <c r="CM46" s="123"/>
      <c r="CN46" s="123"/>
      <c r="CO46" s="123"/>
      <c r="CP46" s="123"/>
      <c r="CQ46" s="123"/>
      <c r="CR46" s="123"/>
      <c r="CS46" s="144"/>
      <c r="CT46" s="126"/>
      <c r="CU46" s="123"/>
      <c r="CV46" s="123"/>
      <c r="CW46" s="123"/>
      <c r="CX46" s="123"/>
      <c r="CY46" s="123"/>
      <c r="CZ46" s="123"/>
      <c r="DA46" s="123"/>
      <c r="DB46" s="126"/>
      <c r="DC46" s="123"/>
      <c r="DD46" s="123"/>
      <c r="DE46" s="123"/>
      <c r="DF46" s="123"/>
      <c r="DG46" s="123"/>
      <c r="DH46" s="123"/>
      <c r="DI46" s="124"/>
      <c r="DJ46" s="50"/>
      <c r="DK46" s="57"/>
      <c r="DL46" s="140"/>
      <c r="DM46" s="141"/>
      <c r="DN46" s="141"/>
      <c r="DO46" s="141"/>
      <c r="DP46" s="141"/>
      <c r="DQ46" s="141"/>
      <c r="DR46" s="142"/>
      <c r="DS46" s="143"/>
      <c r="DT46" s="141"/>
      <c r="DU46" s="141"/>
      <c r="DV46" s="141"/>
      <c r="DW46" s="142"/>
      <c r="DX46" s="126"/>
      <c r="DY46" s="123"/>
      <c r="DZ46" s="123"/>
      <c r="EA46" s="123"/>
      <c r="EB46" s="124"/>
    </row>
    <row r="47" spans="1:134" x14ac:dyDescent="0.15">
      <c r="A47" s="53">
        <v>54</v>
      </c>
      <c r="B47" s="23"/>
      <c r="C47" s="145"/>
      <c r="D47" s="146"/>
      <c r="E47" s="146"/>
      <c r="F47" s="146"/>
      <c r="G47" s="122"/>
      <c r="H47" s="123"/>
      <c r="I47" s="123"/>
      <c r="J47" s="123"/>
      <c r="K47" s="123"/>
      <c r="L47" s="123"/>
      <c r="M47" s="123"/>
      <c r="N47" s="144"/>
      <c r="O47" s="126"/>
      <c r="P47" s="123"/>
      <c r="Q47" s="123"/>
      <c r="R47" s="123"/>
      <c r="S47" s="123"/>
      <c r="T47" s="123"/>
      <c r="U47" s="123"/>
      <c r="V47" s="144"/>
      <c r="W47" s="126"/>
      <c r="X47" s="123"/>
      <c r="Y47" s="123"/>
      <c r="Z47" s="123"/>
      <c r="AA47" s="123"/>
      <c r="AB47" s="123"/>
      <c r="AC47" s="123"/>
      <c r="AD47" s="124"/>
      <c r="AE47" s="66"/>
      <c r="AF47" s="122"/>
      <c r="AG47" s="123"/>
      <c r="AH47" s="123"/>
      <c r="AI47" s="123"/>
      <c r="AJ47" s="123"/>
      <c r="AK47" s="123"/>
      <c r="AL47" s="123"/>
      <c r="AM47" s="144"/>
      <c r="AN47" s="143"/>
      <c r="AO47" s="123"/>
      <c r="AP47" s="123"/>
      <c r="AQ47" s="123"/>
      <c r="AR47" s="123"/>
      <c r="AS47" s="123"/>
      <c r="AT47" s="123"/>
      <c r="AU47" s="144"/>
      <c r="AV47" s="126"/>
      <c r="AW47" s="123"/>
      <c r="AX47" s="123"/>
      <c r="AY47" s="123"/>
      <c r="AZ47" s="123"/>
      <c r="BA47" s="123"/>
      <c r="BB47" s="123"/>
      <c r="BC47" s="124"/>
      <c r="BD47" s="50"/>
      <c r="BE47" s="122"/>
      <c r="BF47" s="123"/>
      <c r="BG47" s="123"/>
      <c r="BH47" s="123"/>
      <c r="BI47" s="123"/>
      <c r="BJ47" s="123"/>
      <c r="BK47" s="123"/>
      <c r="BL47" s="144"/>
      <c r="BM47" s="143"/>
      <c r="BN47" s="123"/>
      <c r="BO47" s="123"/>
      <c r="BP47" s="123"/>
      <c r="BQ47" s="123"/>
      <c r="BR47" s="123"/>
      <c r="BS47" s="123"/>
      <c r="BT47" s="144"/>
      <c r="BU47" s="126"/>
      <c r="BV47" s="123"/>
      <c r="BW47" s="123"/>
      <c r="BX47" s="123"/>
      <c r="BY47" s="123"/>
      <c r="BZ47" s="123"/>
      <c r="CA47" s="123"/>
      <c r="CB47" s="124"/>
      <c r="CC47" s="41"/>
      <c r="CD47" s="122"/>
      <c r="CE47" s="123"/>
      <c r="CF47" s="123"/>
      <c r="CG47" s="123"/>
      <c r="CH47" s="123"/>
      <c r="CI47" s="123"/>
      <c r="CJ47" s="123"/>
      <c r="CK47" s="144"/>
      <c r="CL47" s="143"/>
      <c r="CM47" s="123"/>
      <c r="CN47" s="123"/>
      <c r="CO47" s="123"/>
      <c r="CP47" s="123"/>
      <c r="CQ47" s="123"/>
      <c r="CR47" s="123"/>
      <c r="CS47" s="144"/>
      <c r="CT47" s="126"/>
      <c r="CU47" s="123"/>
      <c r="CV47" s="123"/>
      <c r="CW47" s="123"/>
      <c r="CX47" s="123"/>
      <c r="CY47" s="123"/>
      <c r="CZ47" s="123"/>
      <c r="DA47" s="123"/>
      <c r="DB47" s="126"/>
      <c r="DC47" s="123"/>
      <c r="DD47" s="123"/>
      <c r="DE47" s="123"/>
      <c r="DF47" s="123"/>
      <c r="DG47" s="123"/>
      <c r="DH47" s="123"/>
      <c r="DI47" s="124"/>
      <c r="DJ47" s="50"/>
      <c r="DK47" s="57"/>
      <c r="DL47" s="140"/>
      <c r="DM47" s="141"/>
      <c r="DN47" s="141"/>
      <c r="DO47" s="141"/>
      <c r="DP47" s="141"/>
      <c r="DQ47" s="141"/>
      <c r="DR47" s="142"/>
      <c r="DS47" s="143"/>
      <c r="DT47" s="141"/>
      <c r="DU47" s="141"/>
      <c r="DV47" s="141"/>
      <c r="DW47" s="142"/>
      <c r="DX47" s="126"/>
      <c r="DY47" s="123"/>
      <c r="DZ47" s="123"/>
      <c r="EA47" s="123"/>
      <c r="EB47" s="124"/>
    </row>
    <row r="48" spans="1:134" x14ac:dyDescent="0.15">
      <c r="A48" s="53">
        <v>55</v>
      </c>
      <c r="B48" s="23"/>
      <c r="C48" s="145"/>
      <c r="D48" s="146"/>
      <c r="E48" s="146"/>
      <c r="F48" s="146"/>
      <c r="G48" s="122"/>
      <c r="H48" s="123"/>
      <c r="I48" s="123"/>
      <c r="J48" s="123"/>
      <c r="K48" s="123"/>
      <c r="L48" s="123"/>
      <c r="M48" s="123"/>
      <c r="N48" s="144"/>
      <c r="O48" s="126"/>
      <c r="P48" s="123"/>
      <c r="Q48" s="123"/>
      <c r="R48" s="123"/>
      <c r="S48" s="123"/>
      <c r="T48" s="123"/>
      <c r="U48" s="123"/>
      <c r="V48" s="144"/>
      <c r="W48" s="126"/>
      <c r="X48" s="123"/>
      <c r="Y48" s="123"/>
      <c r="Z48" s="123"/>
      <c r="AA48" s="123"/>
      <c r="AB48" s="123"/>
      <c r="AC48" s="123"/>
      <c r="AD48" s="124"/>
      <c r="AE48" s="66"/>
      <c r="AF48" s="122"/>
      <c r="AG48" s="123"/>
      <c r="AH48" s="123"/>
      <c r="AI48" s="123"/>
      <c r="AJ48" s="123"/>
      <c r="AK48" s="123"/>
      <c r="AL48" s="123"/>
      <c r="AM48" s="144"/>
      <c r="AN48" s="143"/>
      <c r="AO48" s="123"/>
      <c r="AP48" s="123"/>
      <c r="AQ48" s="123"/>
      <c r="AR48" s="123"/>
      <c r="AS48" s="123"/>
      <c r="AT48" s="123"/>
      <c r="AU48" s="144"/>
      <c r="AV48" s="126"/>
      <c r="AW48" s="123"/>
      <c r="AX48" s="123"/>
      <c r="AY48" s="123"/>
      <c r="AZ48" s="123"/>
      <c r="BA48" s="123"/>
      <c r="BB48" s="123"/>
      <c r="BC48" s="124"/>
      <c r="BD48" s="50"/>
      <c r="BE48" s="122"/>
      <c r="BF48" s="123"/>
      <c r="BG48" s="123"/>
      <c r="BH48" s="123"/>
      <c r="BI48" s="123"/>
      <c r="BJ48" s="123"/>
      <c r="BK48" s="123"/>
      <c r="BL48" s="123"/>
      <c r="BM48" s="123"/>
      <c r="BN48" s="123"/>
      <c r="BO48" s="123"/>
      <c r="BP48" s="123"/>
      <c r="BQ48" s="123"/>
      <c r="BR48" s="123"/>
      <c r="BS48" s="123"/>
      <c r="BT48" s="144"/>
      <c r="BU48" s="143"/>
      <c r="BV48" s="123"/>
      <c r="BW48" s="123"/>
      <c r="BX48" s="123"/>
      <c r="BY48" s="123"/>
      <c r="BZ48" s="123"/>
      <c r="CA48" s="123"/>
      <c r="CB48" s="124"/>
      <c r="CC48" s="41"/>
      <c r="CD48" s="122"/>
      <c r="CE48" s="123"/>
      <c r="CF48" s="123"/>
      <c r="CG48" s="123"/>
      <c r="CH48" s="123"/>
      <c r="CI48" s="123"/>
      <c r="CJ48" s="123"/>
      <c r="CK48" s="144"/>
      <c r="CL48" s="143"/>
      <c r="CM48" s="123"/>
      <c r="CN48" s="123"/>
      <c r="CO48" s="123"/>
      <c r="CP48" s="123"/>
      <c r="CQ48" s="123"/>
      <c r="CR48" s="123"/>
      <c r="CS48" s="144"/>
      <c r="CT48" s="126"/>
      <c r="CU48" s="123"/>
      <c r="CV48" s="123"/>
      <c r="CW48" s="123"/>
      <c r="CX48" s="123"/>
      <c r="CY48" s="123"/>
      <c r="CZ48" s="123"/>
      <c r="DA48" s="123"/>
      <c r="DB48" s="126"/>
      <c r="DC48" s="123"/>
      <c r="DD48" s="123"/>
      <c r="DE48" s="123"/>
      <c r="DF48" s="123"/>
      <c r="DG48" s="123"/>
      <c r="DH48" s="123"/>
      <c r="DI48" s="124"/>
      <c r="DJ48" s="50"/>
      <c r="DK48" s="57"/>
      <c r="DL48" s="140"/>
      <c r="DM48" s="141"/>
      <c r="DN48" s="141"/>
      <c r="DO48" s="141"/>
      <c r="DP48" s="141"/>
      <c r="DQ48" s="141"/>
      <c r="DR48" s="141"/>
      <c r="DS48" s="141"/>
      <c r="DT48" s="141"/>
      <c r="DU48" s="141"/>
      <c r="DV48" s="141"/>
      <c r="DW48" s="142"/>
      <c r="DX48" s="126"/>
      <c r="DY48" s="123"/>
      <c r="DZ48" s="123"/>
      <c r="EA48" s="123"/>
      <c r="EB48" s="124"/>
    </row>
    <row r="49" spans="1:132" x14ac:dyDescent="0.15">
      <c r="A49" s="52">
        <v>56</v>
      </c>
      <c r="B49" s="23"/>
      <c r="C49" s="145"/>
      <c r="D49" s="146"/>
      <c r="E49" s="146"/>
      <c r="F49" s="146"/>
      <c r="G49" s="122"/>
      <c r="H49" s="123"/>
      <c r="I49" s="123"/>
      <c r="J49" s="123"/>
      <c r="K49" s="123"/>
      <c r="L49" s="123"/>
      <c r="M49" s="123"/>
      <c r="N49" s="144"/>
      <c r="O49" s="126"/>
      <c r="P49" s="123"/>
      <c r="Q49" s="123"/>
      <c r="R49" s="123"/>
      <c r="S49" s="123"/>
      <c r="T49" s="123"/>
      <c r="U49" s="123"/>
      <c r="V49" s="144"/>
      <c r="W49" s="126"/>
      <c r="X49" s="123"/>
      <c r="Y49" s="123"/>
      <c r="Z49" s="123"/>
      <c r="AA49" s="123"/>
      <c r="AB49" s="123"/>
      <c r="AC49" s="123"/>
      <c r="AD49" s="124"/>
      <c r="AE49" s="66"/>
      <c r="AF49" s="122"/>
      <c r="AG49" s="123"/>
      <c r="AH49" s="123"/>
      <c r="AI49" s="123"/>
      <c r="AJ49" s="123"/>
      <c r="AK49" s="123"/>
      <c r="AL49" s="123"/>
      <c r="AM49" s="144"/>
      <c r="AN49" s="143"/>
      <c r="AO49" s="123"/>
      <c r="AP49" s="123"/>
      <c r="AQ49" s="123"/>
      <c r="AR49" s="123"/>
      <c r="AS49" s="123"/>
      <c r="AT49" s="123"/>
      <c r="AU49" s="144"/>
      <c r="AV49" s="126"/>
      <c r="AW49" s="123"/>
      <c r="AX49" s="123"/>
      <c r="AY49" s="123"/>
      <c r="AZ49" s="123"/>
      <c r="BA49" s="123"/>
      <c r="BB49" s="123"/>
      <c r="BC49" s="124"/>
      <c r="BD49" s="50"/>
      <c r="BE49" s="122"/>
      <c r="BF49" s="123"/>
      <c r="BG49" s="123"/>
      <c r="BH49" s="123"/>
      <c r="BI49" s="123"/>
      <c r="BJ49" s="123"/>
      <c r="BK49" s="123"/>
      <c r="BL49" s="144"/>
      <c r="BM49" s="126"/>
      <c r="BN49" s="123"/>
      <c r="BO49" s="123"/>
      <c r="BP49" s="123"/>
      <c r="BQ49" s="123"/>
      <c r="BR49" s="123"/>
      <c r="BS49" s="123"/>
      <c r="BT49" s="144"/>
      <c r="BU49" s="126"/>
      <c r="BV49" s="123"/>
      <c r="BW49" s="123"/>
      <c r="BX49" s="123"/>
      <c r="BY49" s="123"/>
      <c r="BZ49" s="123"/>
      <c r="CA49" s="123"/>
      <c r="CB49" s="124"/>
      <c r="CC49" s="41"/>
      <c r="CD49" s="122"/>
      <c r="CE49" s="123"/>
      <c r="CF49" s="123"/>
      <c r="CG49" s="123"/>
      <c r="CH49" s="123"/>
      <c r="CI49" s="123"/>
      <c r="CJ49" s="123"/>
      <c r="CK49" s="123"/>
      <c r="CL49" s="123"/>
      <c r="CM49" s="123"/>
      <c r="CN49" s="123"/>
      <c r="CO49" s="123"/>
      <c r="CP49" s="123"/>
      <c r="CQ49" s="123"/>
      <c r="CR49" s="123"/>
      <c r="CS49" s="144"/>
      <c r="CT49" s="126"/>
      <c r="CU49" s="123"/>
      <c r="CV49" s="123"/>
      <c r="CW49" s="123"/>
      <c r="CX49" s="123"/>
      <c r="CY49" s="123"/>
      <c r="CZ49" s="123"/>
      <c r="DA49" s="123"/>
      <c r="DB49" s="126"/>
      <c r="DC49" s="123"/>
      <c r="DD49" s="123"/>
      <c r="DE49" s="123"/>
      <c r="DF49" s="123"/>
      <c r="DG49" s="123"/>
      <c r="DH49" s="123"/>
      <c r="DI49" s="124"/>
      <c r="DJ49" s="50"/>
      <c r="DK49" s="57"/>
      <c r="DL49" s="140"/>
      <c r="DM49" s="141"/>
      <c r="DN49" s="141"/>
      <c r="DO49" s="141"/>
      <c r="DP49" s="141"/>
      <c r="DQ49" s="141"/>
      <c r="DR49" s="142"/>
      <c r="DS49" s="143"/>
      <c r="DT49" s="141"/>
      <c r="DU49" s="141"/>
      <c r="DV49" s="141"/>
      <c r="DW49" s="142"/>
      <c r="DX49" s="126"/>
      <c r="DY49" s="123"/>
      <c r="DZ49" s="123"/>
      <c r="EA49" s="123"/>
      <c r="EB49" s="124"/>
    </row>
    <row r="50" spans="1:132" x14ac:dyDescent="0.15">
      <c r="A50" s="53">
        <v>57</v>
      </c>
      <c r="B50" s="23"/>
      <c r="C50" s="145"/>
      <c r="D50" s="146"/>
      <c r="E50" s="146"/>
      <c r="F50" s="146"/>
      <c r="G50" s="122"/>
      <c r="H50" s="123"/>
      <c r="I50" s="123"/>
      <c r="J50" s="123"/>
      <c r="K50" s="123"/>
      <c r="L50" s="123"/>
      <c r="M50" s="123"/>
      <c r="N50" s="144"/>
      <c r="O50" s="126"/>
      <c r="P50" s="123"/>
      <c r="Q50" s="123"/>
      <c r="R50" s="123"/>
      <c r="S50" s="123"/>
      <c r="T50" s="123"/>
      <c r="U50" s="123"/>
      <c r="V50" s="144"/>
      <c r="W50" s="126"/>
      <c r="X50" s="123"/>
      <c r="Y50" s="123"/>
      <c r="Z50" s="123"/>
      <c r="AA50" s="123"/>
      <c r="AB50" s="123"/>
      <c r="AC50" s="123"/>
      <c r="AD50" s="124"/>
      <c r="AE50" s="66"/>
      <c r="AF50" s="122"/>
      <c r="AG50" s="123"/>
      <c r="AH50" s="123"/>
      <c r="AI50" s="123"/>
      <c r="AJ50" s="123"/>
      <c r="AK50" s="123"/>
      <c r="AL50" s="123"/>
      <c r="AM50" s="144"/>
      <c r="AN50" s="143"/>
      <c r="AO50" s="123"/>
      <c r="AP50" s="123"/>
      <c r="AQ50" s="123"/>
      <c r="AR50" s="123"/>
      <c r="AS50" s="123"/>
      <c r="AT50" s="123"/>
      <c r="AU50" s="144"/>
      <c r="AV50" s="126"/>
      <c r="AW50" s="123"/>
      <c r="AX50" s="123"/>
      <c r="AY50" s="123"/>
      <c r="AZ50" s="123"/>
      <c r="BA50" s="123"/>
      <c r="BB50" s="123"/>
      <c r="BC50" s="124"/>
      <c r="BD50" s="50"/>
      <c r="BE50" s="122"/>
      <c r="BF50" s="123"/>
      <c r="BG50" s="123"/>
      <c r="BH50" s="123"/>
      <c r="BI50" s="123"/>
      <c r="BJ50" s="123"/>
      <c r="BK50" s="123"/>
      <c r="BL50" s="144"/>
      <c r="BM50" s="143"/>
      <c r="BN50" s="123"/>
      <c r="BO50" s="123"/>
      <c r="BP50" s="123"/>
      <c r="BQ50" s="123"/>
      <c r="BR50" s="123"/>
      <c r="BS50" s="123"/>
      <c r="BT50" s="144"/>
      <c r="BU50" s="126"/>
      <c r="BV50" s="123"/>
      <c r="BW50" s="123"/>
      <c r="BX50" s="123"/>
      <c r="BY50" s="123"/>
      <c r="BZ50" s="123"/>
      <c r="CA50" s="123"/>
      <c r="CB50" s="124"/>
      <c r="CC50" s="41"/>
      <c r="CD50" s="122"/>
      <c r="CE50" s="123"/>
      <c r="CF50" s="123"/>
      <c r="CG50" s="123"/>
      <c r="CH50" s="123"/>
      <c r="CI50" s="123"/>
      <c r="CJ50" s="123"/>
      <c r="CK50" s="144"/>
      <c r="CL50" s="126"/>
      <c r="CM50" s="123"/>
      <c r="CN50" s="123"/>
      <c r="CO50" s="123"/>
      <c r="CP50" s="123"/>
      <c r="CQ50" s="123"/>
      <c r="CR50" s="123"/>
      <c r="CS50" s="144"/>
      <c r="CT50" s="126"/>
      <c r="CU50" s="123"/>
      <c r="CV50" s="123"/>
      <c r="CW50" s="123"/>
      <c r="CX50" s="123"/>
      <c r="CY50" s="123"/>
      <c r="CZ50" s="123"/>
      <c r="DA50" s="123"/>
      <c r="DB50" s="126"/>
      <c r="DC50" s="123"/>
      <c r="DD50" s="123"/>
      <c r="DE50" s="123"/>
      <c r="DF50" s="123"/>
      <c r="DG50" s="123"/>
      <c r="DH50" s="123"/>
      <c r="DI50" s="124"/>
      <c r="DJ50" s="50"/>
      <c r="DK50" s="57"/>
      <c r="DL50" s="140"/>
      <c r="DM50" s="141"/>
      <c r="DN50" s="141"/>
      <c r="DO50" s="141"/>
      <c r="DP50" s="141"/>
      <c r="DQ50" s="141"/>
      <c r="DR50" s="142"/>
      <c r="DS50" s="143"/>
      <c r="DT50" s="141"/>
      <c r="DU50" s="141"/>
      <c r="DV50" s="141"/>
      <c r="DW50" s="142"/>
      <c r="DX50" s="126"/>
      <c r="DY50" s="123"/>
      <c r="DZ50" s="123"/>
      <c r="EA50" s="123"/>
      <c r="EB50" s="124"/>
    </row>
    <row r="51" spans="1:132" x14ac:dyDescent="0.15">
      <c r="A51" s="53">
        <v>58</v>
      </c>
      <c r="B51" s="23"/>
      <c r="C51" s="145"/>
      <c r="D51" s="146"/>
      <c r="E51" s="146"/>
      <c r="F51" s="146"/>
      <c r="G51" s="122"/>
      <c r="H51" s="123"/>
      <c r="I51" s="123"/>
      <c r="J51" s="123"/>
      <c r="K51" s="123"/>
      <c r="L51" s="123"/>
      <c r="M51" s="123"/>
      <c r="N51" s="144"/>
      <c r="O51" s="126"/>
      <c r="P51" s="123"/>
      <c r="Q51" s="123"/>
      <c r="R51" s="123"/>
      <c r="S51" s="123"/>
      <c r="T51" s="123"/>
      <c r="U51" s="123"/>
      <c r="V51" s="144"/>
      <c r="W51" s="126"/>
      <c r="X51" s="123"/>
      <c r="Y51" s="123"/>
      <c r="Z51" s="123"/>
      <c r="AA51" s="123"/>
      <c r="AB51" s="123"/>
      <c r="AC51" s="123"/>
      <c r="AD51" s="124"/>
      <c r="AE51" s="66"/>
      <c r="AF51" s="122"/>
      <c r="AG51" s="123"/>
      <c r="AH51" s="123"/>
      <c r="AI51" s="123"/>
      <c r="AJ51" s="123"/>
      <c r="AK51" s="123"/>
      <c r="AL51" s="123"/>
      <c r="AM51" s="144"/>
      <c r="AN51" s="126"/>
      <c r="AO51" s="123"/>
      <c r="AP51" s="123"/>
      <c r="AQ51" s="123"/>
      <c r="AR51" s="123"/>
      <c r="AS51" s="123"/>
      <c r="AT51" s="123"/>
      <c r="AU51" s="144"/>
      <c r="AV51" s="126"/>
      <c r="AW51" s="123"/>
      <c r="AX51" s="123"/>
      <c r="AY51" s="123"/>
      <c r="AZ51" s="123"/>
      <c r="BA51" s="123"/>
      <c r="BB51" s="123"/>
      <c r="BC51" s="124"/>
      <c r="BD51" s="50"/>
      <c r="BE51" s="122"/>
      <c r="BF51" s="123"/>
      <c r="BG51" s="123"/>
      <c r="BH51" s="123"/>
      <c r="BI51" s="123"/>
      <c r="BJ51" s="123"/>
      <c r="BK51" s="123"/>
      <c r="BL51" s="144"/>
      <c r="BM51" s="126"/>
      <c r="BN51" s="123"/>
      <c r="BO51" s="123"/>
      <c r="BP51" s="123"/>
      <c r="BQ51" s="123"/>
      <c r="BR51" s="123"/>
      <c r="BS51" s="123"/>
      <c r="BT51" s="144"/>
      <c r="BU51" s="126"/>
      <c r="BV51" s="123"/>
      <c r="BW51" s="123"/>
      <c r="BX51" s="123"/>
      <c r="BY51" s="123"/>
      <c r="BZ51" s="123"/>
      <c r="CA51" s="123"/>
      <c r="CB51" s="124"/>
      <c r="CC51" s="41"/>
      <c r="CD51" s="122"/>
      <c r="CE51" s="123"/>
      <c r="CF51" s="123"/>
      <c r="CG51" s="123"/>
      <c r="CH51" s="123"/>
      <c r="CI51" s="123"/>
      <c r="CJ51" s="123"/>
      <c r="CK51" s="144"/>
      <c r="CL51" s="126"/>
      <c r="CM51" s="123"/>
      <c r="CN51" s="123"/>
      <c r="CO51" s="123"/>
      <c r="CP51" s="123"/>
      <c r="CQ51" s="123"/>
      <c r="CR51" s="123"/>
      <c r="CS51" s="144"/>
      <c r="CT51" s="126"/>
      <c r="CU51" s="123"/>
      <c r="CV51" s="123"/>
      <c r="CW51" s="123"/>
      <c r="CX51" s="123"/>
      <c r="CY51" s="123"/>
      <c r="CZ51" s="123"/>
      <c r="DA51" s="123"/>
      <c r="DB51" s="126"/>
      <c r="DC51" s="123"/>
      <c r="DD51" s="123"/>
      <c r="DE51" s="123"/>
      <c r="DF51" s="123"/>
      <c r="DG51" s="123"/>
      <c r="DH51" s="123"/>
      <c r="DI51" s="124"/>
      <c r="DJ51" s="50"/>
      <c r="DK51" s="57"/>
      <c r="DL51" s="140"/>
      <c r="DM51" s="141"/>
      <c r="DN51" s="141"/>
      <c r="DO51" s="141"/>
      <c r="DP51" s="141"/>
      <c r="DQ51" s="141"/>
      <c r="DR51" s="142"/>
      <c r="DS51" s="143"/>
      <c r="DT51" s="141"/>
      <c r="DU51" s="141"/>
      <c r="DV51" s="141"/>
      <c r="DW51" s="142"/>
      <c r="DX51" s="126"/>
      <c r="DY51" s="123"/>
      <c r="DZ51" s="123"/>
      <c r="EA51" s="123"/>
      <c r="EB51" s="124"/>
    </row>
    <row r="52" spans="1:132" x14ac:dyDescent="0.15">
      <c r="A52" s="53">
        <v>59</v>
      </c>
      <c r="B52" s="24"/>
      <c r="C52" s="36"/>
      <c r="D52" s="37"/>
      <c r="E52" s="37"/>
      <c r="F52" s="37"/>
      <c r="G52" s="109"/>
      <c r="H52" s="110"/>
      <c r="I52" s="110"/>
      <c r="J52" s="110"/>
      <c r="K52" s="110"/>
      <c r="L52" s="110"/>
      <c r="M52" s="110"/>
      <c r="N52" s="128"/>
      <c r="O52" s="127"/>
      <c r="P52" s="110"/>
      <c r="Q52" s="110"/>
      <c r="R52" s="110"/>
      <c r="S52" s="110"/>
      <c r="T52" s="110"/>
      <c r="U52" s="110"/>
      <c r="V52" s="128"/>
      <c r="W52" s="127"/>
      <c r="X52" s="110"/>
      <c r="Y52" s="110"/>
      <c r="Z52" s="110"/>
      <c r="AA52" s="110"/>
      <c r="AB52" s="110"/>
      <c r="AC52" s="110"/>
      <c r="AD52" s="111"/>
      <c r="AE52" s="71"/>
      <c r="AF52" s="109"/>
      <c r="AG52" s="110"/>
      <c r="AH52" s="110"/>
      <c r="AI52" s="110"/>
      <c r="AJ52" s="110"/>
      <c r="AK52" s="110"/>
      <c r="AL52" s="110"/>
      <c r="AM52" s="128"/>
      <c r="AN52" s="127"/>
      <c r="AO52" s="110"/>
      <c r="AP52" s="110"/>
      <c r="AQ52" s="110"/>
      <c r="AR52" s="110"/>
      <c r="AS52" s="110"/>
      <c r="AT52" s="110"/>
      <c r="AU52" s="128"/>
      <c r="AV52" s="127"/>
      <c r="AW52" s="110"/>
      <c r="AX52" s="110"/>
      <c r="AY52" s="110"/>
      <c r="AZ52" s="110"/>
      <c r="BA52" s="110"/>
      <c r="BB52" s="110"/>
      <c r="BC52" s="111"/>
      <c r="BD52" s="70"/>
      <c r="BE52" s="109"/>
      <c r="BF52" s="110"/>
      <c r="BG52" s="110"/>
      <c r="BH52" s="110"/>
      <c r="BI52" s="110"/>
      <c r="BJ52" s="110"/>
      <c r="BK52" s="110"/>
      <c r="BL52" s="128"/>
      <c r="BM52" s="127"/>
      <c r="BN52" s="110"/>
      <c r="BO52" s="110"/>
      <c r="BP52" s="110"/>
      <c r="BQ52" s="110"/>
      <c r="BR52" s="110"/>
      <c r="BS52" s="110"/>
      <c r="BT52" s="128"/>
      <c r="BU52" s="127"/>
      <c r="BV52" s="110"/>
      <c r="BW52" s="110"/>
      <c r="BX52" s="110"/>
      <c r="BY52" s="110"/>
      <c r="BZ52" s="110"/>
      <c r="CA52" s="110"/>
      <c r="CB52" s="111"/>
      <c r="CC52" s="41"/>
      <c r="CD52" s="109"/>
      <c r="CE52" s="110"/>
      <c r="CF52" s="110"/>
      <c r="CG52" s="110"/>
      <c r="CH52" s="110"/>
      <c r="CI52" s="110"/>
      <c r="CJ52" s="110"/>
      <c r="CK52" s="128"/>
      <c r="CL52" s="139"/>
      <c r="CM52" s="110"/>
      <c r="CN52" s="110"/>
      <c r="CO52" s="110"/>
      <c r="CP52" s="110"/>
      <c r="CQ52" s="110"/>
      <c r="CR52" s="110"/>
      <c r="CS52" s="128"/>
      <c r="CT52" s="126"/>
      <c r="CU52" s="123"/>
      <c r="CV52" s="123"/>
      <c r="CW52" s="123"/>
      <c r="CX52" s="123"/>
      <c r="CY52" s="123"/>
      <c r="CZ52" s="123"/>
      <c r="DA52" s="123"/>
      <c r="DB52" s="127"/>
      <c r="DC52" s="110"/>
      <c r="DD52" s="110"/>
      <c r="DE52" s="110"/>
      <c r="DF52" s="110"/>
      <c r="DG52" s="110"/>
      <c r="DH52" s="110"/>
      <c r="DI52" s="111"/>
      <c r="DJ52" s="50"/>
      <c r="DK52" s="57"/>
      <c r="DL52" s="109"/>
      <c r="DM52" s="110"/>
      <c r="DN52" s="110"/>
      <c r="DO52" s="110"/>
      <c r="DP52" s="110"/>
      <c r="DQ52" s="110"/>
      <c r="DR52" s="128"/>
      <c r="DS52" s="127"/>
      <c r="DT52" s="110"/>
      <c r="DU52" s="110"/>
      <c r="DV52" s="110"/>
      <c r="DW52" s="128"/>
      <c r="DX52" s="127"/>
      <c r="DY52" s="110"/>
      <c r="DZ52" s="110"/>
      <c r="EA52" s="110"/>
      <c r="EB52" s="111"/>
    </row>
    <row r="53" spans="1:132" x14ac:dyDescent="0.15">
      <c r="A53" s="53">
        <v>60</v>
      </c>
      <c r="B53" s="129"/>
      <c r="C53" s="130"/>
      <c r="D53" s="130"/>
      <c r="E53" s="130"/>
      <c r="F53" s="130"/>
      <c r="G53" s="130"/>
      <c r="H53" s="130"/>
      <c r="I53" s="130"/>
      <c r="J53" s="130"/>
      <c r="K53" s="130"/>
      <c r="L53" s="130"/>
      <c r="M53" s="130"/>
      <c r="N53" s="130"/>
      <c r="O53" s="130"/>
      <c r="P53" s="130"/>
      <c r="Q53" s="130"/>
      <c r="R53" s="130"/>
      <c r="S53" s="130"/>
      <c r="T53" s="130"/>
      <c r="U53" s="130"/>
      <c r="V53" s="130"/>
      <c r="W53" s="130"/>
      <c r="X53" s="130"/>
      <c r="Y53" s="130"/>
      <c r="Z53" s="130"/>
      <c r="AA53" s="130"/>
      <c r="AB53" s="130"/>
      <c r="AC53" s="130"/>
      <c r="AD53" s="130"/>
      <c r="AE53" s="130"/>
      <c r="AF53" s="130"/>
      <c r="AG53" s="130"/>
      <c r="AH53" s="130"/>
      <c r="AI53" s="130"/>
      <c r="AJ53" s="130"/>
      <c r="AK53" s="130"/>
      <c r="AL53" s="130"/>
      <c r="AM53" s="130"/>
      <c r="AN53" s="130"/>
      <c r="AO53" s="130"/>
      <c r="AP53" s="130"/>
      <c r="AQ53" s="130"/>
      <c r="AR53" s="130"/>
      <c r="AS53" s="130"/>
      <c r="AT53" s="130"/>
      <c r="AU53" s="130"/>
      <c r="AV53" s="130"/>
      <c r="AW53" s="130"/>
      <c r="AX53" s="130"/>
      <c r="AY53" s="130"/>
      <c r="AZ53" s="130"/>
      <c r="BA53" s="130"/>
      <c r="BB53" s="130"/>
      <c r="BC53" s="130"/>
      <c r="BD53" s="130"/>
      <c r="BE53" s="130"/>
      <c r="BF53" s="130"/>
      <c r="BG53" s="130"/>
      <c r="BH53" s="130"/>
      <c r="BI53" s="130"/>
      <c r="BJ53" s="130"/>
      <c r="BK53" s="130"/>
      <c r="BL53" s="130"/>
      <c r="BM53" s="130"/>
      <c r="BN53" s="130"/>
      <c r="BO53" s="130"/>
      <c r="BP53" s="130"/>
      <c r="BQ53" s="130"/>
      <c r="BR53" s="130"/>
      <c r="BS53" s="130"/>
      <c r="BT53" s="131"/>
      <c r="BU53" s="51" t="s">
        <v>4</v>
      </c>
      <c r="BV53" s="25"/>
      <c r="BW53" s="26"/>
      <c r="BX53" s="27"/>
      <c r="BY53" s="25"/>
      <c r="BZ53" s="25"/>
      <c r="CA53" s="25"/>
      <c r="CB53" s="25"/>
      <c r="CC53" s="25"/>
      <c r="CD53" s="25"/>
      <c r="CE53" s="25" t="s">
        <v>5</v>
      </c>
      <c r="CF53" s="25"/>
      <c r="CG53" s="25"/>
      <c r="CH53" s="25"/>
      <c r="CI53" s="25"/>
      <c r="CJ53" s="25"/>
      <c r="CK53" s="25"/>
      <c r="CL53" s="25"/>
      <c r="CM53" s="25"/>
      <c r="CN53" s="25"/>
      <c r="CO53" s="25"/>
      <c r="CP53" s="25"/>
      <c r="CQ53" s="25"/>
      <c r="CR53" s="26"/>
      <c r="CS53" s="27"/>
      <c r="CT53" s="25"/>
      <c r="CU53" s="28" t="s">
        <v>6</v>
      </c>
      <c r="CV53" s="29"/>
      <c r="CW53" s="30"/>
      <c r="CX53" s="27"/>
      <c r="CY53" s="25"/>
      <c r="CZ53" s="25" t="s">
        <v>7</v>
      </c>
      <c r="DA53" s="25"/>
      <c r="DB53" s="26"/>
      <c r="DC53" s="27"/>
      <c r="DD53" s="25" t="s">
        <v>8</v>
      </c>
      <c r="DE53" s="25"/>
      <c r="DF53" s="25"/>
      <c r="DG53" s="26"/>
      <c r="DH53" s="27" t="s">
        <v>9</v>
      </c>
      <c r="DI53" s="25"/>
      <c r="DJ53" s="25"/>
      <c r="DK53" s="25"/>
      <c r="DL53" s="26"/>
      <c r="DM53" s="31" t="s">
        <v>10</v>
      </c>
      <c r="DN53" s="31"/>
      <c r="DO53" s="31"/>
      <c r="DP53" s="32"/>
      <c r="DQ53" s="31"/>
      <c r="DR53" s="32"/>
      <c r="DS53" s="31"/>
      <c r="DT53" s="32"/>
      <c r="DU53" s="32"/>
      <c r="DV53" s="32"/>
      <c r="DW53" s="32"/>
      <c r="DX53" s="56"/>
      <c r="DY53" s="56"/>
      <c r="DZ53" s="56"/>
      <c r="EA53" s="59"/>
      <c r="EB53" s="60"/>
    </row>
    <row r="54" spans="1:132" x14ac:dyDescent="0.15">
      <c r="A54" s="52">
        <v>61</v>
      </c>
      <c r="B54" s="132"/>
      <c r="C54" s="133"/>
      <c r="D54" s="133"/>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c r="BM54" s="133"/>
      <c r="BN54" s="133"/>
      <c r="BO54" s="133"/>
      <c r="BP54" s="133"/>
      <c r="BQ54" s="133"/>
      <c r="BR54" s="133"/>
      <c r="BS54" s="133"/>
      <c r="BT54" s="134"/>
      <c r="BU54" s="8"/>
      <c r="BV54" s="9"/>
      <c r="BW54" s="10"/>
      <c r="BX54" s="34"/>
      <c r="BY54" s="9"/>
      <c r="BZ54" s="9"/>
      <c r="CA54" s="9"/>
      <c r="CB54" s="9"/>
      <c r="CC54" s="9"/>
      <c r="CD54" s="9"/>
      <c r="CE54" s="9"/>
      <c r="CF54" s="9"/>
      <c r="CG54" s="9"/>
      <c r="CH54" s="9"/>
      <c r="CI54" s="9"/>
      <c r="CJ54" s="9"/>
      <c r="CK54" s="9"/>
      <c r="CL54" s="9"/>
      <c r="CM54" s="9"/>
      <c r="CN54" s="9"/>
      <c r="CO54" s="9"/>
      <c r="CP54" s="9"/>
      <c r="CQ54" s="9"/>
      <c r="CR54" s="10"/>
      <c r="CS54" s="34"/>
      <c r="CT54" s="9"/>
      <c r="CU54" s="9"/>
      <c r="CV54" s="9"/>
      <c r="CW54" s="10"/>
      <c r="CX54" s="34"/>
      <c r="CY54" s="9"/>
      <c r="CZ54" s="9"/>
      <c r="DA54" s="9"/>
      <c r="DB54" s="10"/>
      <c r="DC54" s="34"/>
      <c r="DD54" s="9"/>
      <c r="DE54" s="9"/>
      <c r="DF54" s="9"/>
      <c r="DG54" s="10"/>
      <c r="DH54" s="34"/>
      <c r="DI54" s="9"/>
      <c r="DJ54" s="9"/>
      <c r="DK54" s="9"/>
      <c r="DL54" s="10"/>
      <c r="DM54" s="11"/>
      <c r="DN54" s="11"/>
      <c r="DO54" s="11"/>
      <c r="DP54" s="11"/>
      <c r="DQ54" s="11"/>
      <c r="DR54" s="11"/>
      <c r="DS54" s="11"/>
      <c r="DT54" s="11"/>
      <c r="DU54" s="11"/>
      <c r="DV54" s="11"/>
      <c r="DW54" s="11"/>
      <c r="DX54" s="11"/>
      <c r="DY54" s="11"/>
      <c r="DZ54" s="11"/>
      <c r="EA54" s="11"/>
      <c r="EB54" s="22"/>
    </row>
    <row r="55" spans="1:132" x14ac:dyDescent="0.15">
      <c r="A55" s="53">
        <v>62</v>
      </c>
      <c r="B55" s="132"/>
      <c r="C55" s="133"/>
      <c r="D55" s="133"/>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4"/>
      <c r="BU55" s="8"/>
      <c r="BV55" s="9"/>
      <c r="BW55" s="10"/>
      <c r="BX55" s="34"/>
      <c r="BY55" s="9"/>
      <c r="BZ55" s="9"/>
      <c r="CA55" s="9"/>
      <c r="CB55" s="9"/>
      <c r="CC55" s="9"/>
      <c r="CD55" s="9"/>
      <c r="CE55" s="9"/>
      <c r="CF55" s="9"/>
      <c r="CG55" s="9"/>
      <c r="CH55" s="9"/>
      <c r="CI55" s="9"/>
      <c r="CJ55" s="9"/>
      <c r="CK55" s="9"/>
      <c r="CL55" s="9"/>
      <c r="CM55" s="9"/>
      <c r="CN55" s="9"/>
      <c r="CO55" s="9"/>
      <c r="CP55" s="9"/>
      <c r="CQ55" s="9"/>
      <c r="CR55" s="10"/>
      <c r="CS55" s="34"/>
      <c r="CT55" s="9"/>
      <c r="CU55" s="9"/>
      <c r="CV55" s="9"/>
      <c r="CW55" s="10"/>
      <c r="CX55" s="34"/>
      <c r="CY55" s="9"/>
      <c r="CZ55" s="9"/>
      <c r="DA55" s="9"/>
      <c r="DB55" s="10"/>
      <c r="DC55" s="34"/>
      <c r="DD55" s="9"/>
      <c r="DE55" s="9"/>
      <c r="DF55" s="9"/>
      <c r="DG55" s="10"/>
      <c r="DH55" s="34"/>
      <c r="DI55" s="9"/>
      <c r="DJ55" s="9"/>
      <c r="DK55" s="9"/>
      <c r="DL55" s="10"/>
      <c r="DM55" s="11"/>
      <c r="DN55" s="138" t="str">
        <f>DO5</f>
        <v>MEB-001</v>
      </c>
      <c r="DO55" s="138"/>
      <c r="DP55" s="138"/>
      <c r="DQ55" s="138"/>
      <c r="DR55" s="138"/>
      <c r="DS55" s="138"/>
      <c r="DT55" s="138"/>
      <c r="DU55" s="138"/>
      <c r="DV55" s="138"/>
      <c r="DW55" s="138"/>
      <c r="DX55" s="138"/>
      <c r="DY55" s="138"/>
      <c r="DZ55" s="138"/>
      <c r="EA55" s="138"/>
      <c r="EB55" s="22"/>
    </row>
    <row r="56" spans="1:132" x14ac:dyDescent="0.15">
      <c r="A56" s="53">
        <v>63</v>
      </c>
      <c r="B56" s="132"/>
      <c r="C56" s="133"/>
      <c r="D56" s="133"/>
      <c r="E56" s="133"/>
      <c r="F56" s="133"/>
      <c r="G56" s="133"/>
      <c r="H56" s="133"/>
      <c r="I56" s="133"/>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33"/>
      <c r="AQ56" s="133"/>
      <c r="AR56" s="133"/>
      <c r="AS56" s="133"/>
      <c r="AT56" s="133"/>
      <c r="AU56" s="133"/>
      <c r="AV56" s="133"/>
      <c r="AW56" s="133"/>
      <c r="AX56" s="133"/>
      <c r="AY56" s="133"/>
      <c r="AZ56" s="133"/>
      <c r="BA56" s="133"/>
      <c r="BB56" s="133"/>
      <c r="BC56" s="133"/>
      <c r="BD56" s="133"/>
      <c r="BE56" s="133"/>
      <c r="BF56" s="133"/>
      <c r="BG56" s="133"/>
      <c r="BH56" s="133"/>
      <c r="BI56" s="133"/>
      <c r="BJ56" s="133"/>
      <c r="BK56" s="133"/>
      <c r="BL56" s="133"/>
      <c r="BM56" s="133"/>
      <c r="BN56" s="133"/>
      <c r="BO56" s="133"/>
      <c r="BP56" s="133"/>
      <c r="BQ56" s="133"/>
      <c r="BR56" s="133"/>
      <c r="BS56" s="133"/>
      <c r="BT56" s="134"/>
      <c r="BU56" s="8"/>
      <c r="BV56" s="9"/>
      <c r="BW56" s="10"/>
      <c r="BX56" s="34"/>
      <c r="BY56" s="9"/>
      <c r="BZ56" s="9"/>
      <c r="CA56" s="9"/>
      <c r="CB56" s="9"/>
      <c r="CC56" s="9"/>
      <c r="CD56" s="9"/>
      <c r="CE56" s="9"/>
      <c r="CF56" s="9"/>
      <c r="CG56" s="9"/>
      <c r="CH56" s="9"/>
      <c r="CI56" s="9"/>
      <c r="CJ56" s="9"/>
      <c r="CK56" s="9"/>
      <c r="CL56" s="9"/>
      <c r="CM56" s="9"/>
      <c r="CN56" s="9"/>
      <c r="CO56" s="9"/>
      <c r="CP56" s="9"/>
      <c r="CQ56" s="9"/>
      <c r="CR56" s="10"/>
      <c r="CS56" s="34"/>
      <c r="CT56" s="9"/>
      <c r="CU56" s="9"/>
      <c r="CV56" s="9"/>
      <c r="CW56" s="10"/>
      <c r="CX56" s="34"/>
      <c r="CY56" s="9"/>
      <c r="CZ56" s="9"/>
      <c r="DA56" s="9"/>
      <c r="DB56" s="10"/>
      <c r="DC56" s="34"/>
      <c r="DD56" s="9"/>
      <c r="DE56" s="9"/>
      <c r="DF56" s="9"/>
      <c r="DG56" s="10"/>
      <c r="DH56" s="34"/>
      <c r="DI56" s="9"/>
      <c r="DJ56" s="9"/>
      <c r="DK56" s="9"/>
      <c r="DL56" s="10"/>
      <c r="DM56" s="9"/>
      <c r="DN56" s="9"/>
      <c r="DO56" s="9"/>
      <c r="DP56" s="9"/>
      <c r="DQ56" s="9"/>
      <c r="DR56" s="9"/>
      <c r="DS56" s="9"/>
      <c r="DT56" s="9"/>
      <c r="DU56" s="9"/>
      <c r="DV56" s="9"/>
      <c r="DW56" s="9"/>
      <c r="DX56" s="9"/>
      <c r="DY56" s="9"/>
      <c r="DZ56" s="9"/>
      <c r="EA56" s="9"/>
      <c r="EB56" s="15"/>
    </row>
    <row r="57" spans="1:132" x14ac:dyDescent="0.15">
      <c r="A57" s="53">
        <v>64</v>
      </c>
      <c r="B57" s="135"/>
      <c r="C57" s="136"/>
      <c r="D57" s="136"/>
      <c r="E57" s="136"/>
      <c r="F57" s="136"/>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136"/>
      <c r="BG57" s="136"/>
      <c r="BH57" s="136"/>
      <c r="BI57" s="136"/>
      <c r="BJ57" s="136"/>
      <c r="BK57" s="136"/>
      <c r="BL57" s="136"/>
      <c r="BM57" s="136"/>
      <c r="BN57" s="136"/>
      <c r="BO57" s="136"/>
      <c r="BP57" s="136"/>
      <c r="BQ57" s="136"/>
      <c r="BR57" s="136"/>
      <c r="BS57" s="136"/>
      <c r="BT57" s="137"/>
      <c r="BU57" s="16"/>
      <c r="BV57" s="17"/>
      <c r="BW57" s="18"/>
      <c r="BX57" s="35"/>
      <c r="BY57" s="17"/>
      <c r="BZ57" s="17"/>
      <c r="CA57" s="17"/>
      <c r="CB57" s="17"/>
      <c r="CC57" s="17"/>
      <c r="CD57" s="17"/>
      <c r="CE57" s="17"/>
      <c r="CF57" s="17"/>
      <c r="CG57" s="17"/>
      <c r="CH57" s="17"/>
      <c r="CI57" s="17"/>
      <c r="CJ57" s="17"/>
      <c r="CK57" s="17"/>
      <c r="CL57" s="17"/>
      <c r="CM57" s="17"/>
      <c r="CN57" s="17"/>
      <c r="CO57" s="17"/>
      <c r="CP57" s="17"/>
      <c r="CQ57" s="17"/>
      <c r="CR57" s="18"/>
      <c r="CS57" s="35"/>
      <c r="CT57" s="17"/>
      <c r="CU57" s="17"/>
      <c r="CV57" s="17"/>
      <c r="CW57" s="18"/>
      <c r="CX57" s="35"/>
      <c r="CY57" s="17"/>
      <c r="CZ57" s="17"/>
      <c r="DA57" s="17"/>
      <c r="DB57" s="18"/>
      <c r="DC57" s="35"/>
      <c r="DD57" s="17"/>
      <c r="DE57" s="17"/>
      <c r="DF57" s="17"/>
      <c r="DG57" s="18"/>
      <c r="DH57" s="35"/>
      <c r="DI57" s="17"/>
      <c r="DJ57" s="17"/>
      <c r="DK57" s="17"/>
      <c r="DL57" s="18"/>
      <c r="DM57" s="127" t="s">
        <v>17</v>
      </c>
      <c r="DN57" s="110"/>
      <c r="DO57" s="110"/>
      <c r="DP57" s="110"/>
      <c r="DQ57" s="110">
        <v>2</v>
      </c>
      <c r="DR57" s="110"/>
      <c r="DS57" s="110"/>
      <c r="DT57" s="110" t="s">
        <v>11</v>
      </c>
      <c r="DU57" s="110"/>
      <c r="DV57" s="110"/>
      <c r="DW57" s="110">
        <v>3</v>
      </c>
      <c r="DX57" s="110"/>
      <c r="DY57" s="110"/>
      <c r="DZ57" s="110"/>
      <c r="EA57" s="110"/>
      <c r="EB57" s="20"/>
    </row>
  </sheetData>
  <scenarios current="0" show="0">
    <scenario name="10% solids" locked="1" count="1" user="jack housego-woolgar" comment="Created by jack housego-woolgar on 19/10/2023_x000a_Modified by jack housego-woolgar on 19/10/2023">
      <inputCells r="AX21" val="0.15"/>
    </scenario>
  </scenarios>
  <mergeCells count="850">
    <mergeCell ref="DS10:DW10"/>
    <mergeCell ref="DL10:DR10"/>
    <mergeCell ref="DX18:EB18"/>
    <mergeCell ref="DX17:EB17"/>
    <mergeCell ref="DX13:EB13"/>
    <mergeCell ref="DX14:EB14"/>
    <mergeCell ref="DX11:EB11"/>
    <mergeCell ref="DX10:EB10"/>
    <mergeCell ref="DX9:EB9"/>
    <mergeCell ref="DL9:DW9"/>
    <mergeCell ref="DS18:DW18"/>
    <mergeCell ref="DL18:DR18"/>
    <mergeCell ref="DS17:DW17"/>
    <mergeCell ref="DL17:DR17"/>
    <mergeCell ref="DS14:DW14"/>
    <mergeCell ref="DL14:DR14"/>
    <mergeCell ref="DS13:DW13"/>
    <mergeCell ref="DL13:DR13"/>
    <mergeCell ref="DS11:DW11"/>
    <mergeCell ref="DL11:DR11"/>
    <mergeCell ref="DX12:EB12"/>
    <mergeCell ref="DX27:EB27"/>
    <mergeCell ref="DS27:DW27"/>
    <mergeCell ref="DL27:DR27"/>
    <mergeCell ref="DL26:DR26"/>
    <mergeCell ref="DX24:EB24"/>
    <mergeCell ref="DS24:DW24"/>
    <mergeCell ref="DL24:DR24"/>
    <mergeCell ref="DS20:DW20"/>
    <mergeCell ref="DL20:DR20"/>
    <mergeCell ref="DX20:EB20"/>
    <mergeCell ref="DX21:EB21"/>
    <mergeCell ref="DS21:DW21"/>
    <mergeCell ref="DL21:DR21"/>
    <mergeCell ref="DS23:DW23"/>
    <mergeCell ref="DX23:EB23"/>
    <mergeCell ref="DX25:EB25"/>
    <mergeCell ref="DS26:DW26"/>
    <mergeCell ref="DX26:EB26"/>
    <mergeCell ref="DX32:EB32"/>
    <mergeCell ref="DS32:DW32"/>
    <mergeCell ref="DL32:DR32"/>
    <mergeCell ref="DX29:EB29"/>
    <mergeCell ref="DS30:DW30"/>
    <mergeCell ref="DL30:DR30"/>
    <mergeCell ref="DS29:DW29"/>
    <mergeCell ref="DL29:DR29"/>
    <mergeCell ref="DL28:DR28"/>
    <mergeCell ref="DX28:EB28"/>
    <mergeCell ref="DS28:DW28"/>
    <mergeCell ref="DX35:EB35"/>
    <mergeCell ref="DS35:DW35"/>
    <mergeCell ref="DL35:DR35"/>
    <mergeCell ref="DX34:EB34"/>
    <mergeCell ref="DS34:DW34"/>
    <mergeCell ref="DL34:DR34"/>
    <mergeCell ref="DX33:EB33"/>
    <mergeCell ref="DS33:DW33"/>
    <mergeCell ref="DL33:DR33"/>
    <mergeCell ref="DX41:EB41"/>
    <mergeCell ref="DX40:EB40"/>
    <mergeCell ref="DX38:EB38"/>
    <mergeCell ref="DX39:EB39"/>
    <mergeCell ref="DS47:DW47"/>
    <mergeCell ref="DL47:DR47"/>
    <mergeCell ref="DS46:DW46"/>
    <mergeCell ref="DL46:DR46"/>
    <mergeCell ref="DS45:DW45"/>
    <mergeCell ref="DL45:DR45"/>
    <mergeCell ref="DS44:DW44"/>
    <mergeCell ref="DL44:DR44"/>
    <mergeCell ref="DS42:DW42"/>
    <mergeCell ref="DL42:DR42"/>
    <mergeCell ref="DS43:DW43"/>
    <mergeCell ref="DL43:DR43"/>
    <mergeCell ref="DS41:DW41"/>
    <mergeCell ref="DL41:DR41"/>
    <mergeCell ref="DS40:DW40"/>
    <mergeCell ref="DL40:DR40"/>
    <mergeCell ref="DS38:DW38"/>
    <mergeCell ref="DL38:DR38"/>
    <mergeCell ref="DS39:DW39"/>
    <mergeCell ref="DL39:DR39"/>
    <mergeCell ref="DL48:DW48"/>
    <mergeCell ref="DX50:EB50"/>
    <mergeCell ref="DX48:EB48"/>
    <mergeCell ref="DX47:EB47"/>
    <mergeCell ref="DX46:EB46"/>
    <mergeCell ref="DX45:EB45"/>
    <mergeCell ref="DX44:EB44"/>
    <mergeCell ref="DX42:EB42"/>
    <mergeCell ref="DX43:EB43"/>
    <mergeCell ref="DX49:EB49"/>
    <mergeCell ref="DO5:EB5"/>
    <mergeCell ref="BT6:BX6"/>
    <mergeCell ref="BY6:CM6"/>
    <mergeCell ref="DO6:EB6"/>
    <mergeCell ref="DO7:EB7"/>
    <mergeCell ref="C8:F8"/>
    <mergeCell ref="G8:N8"/>
    <mergeCell ref="O8:X8"/>
    <mergeCell ref="Y8:AH8"/>
    <mergeCell ref="AI8:AR8"/>
    <mergeCell ref="B2:BS7"/>
    <mergeCell ref="BT2:BX2"/>
    <mergeCell ref="BY2:CM2"/>
    <mergeCell ref="DF2:EA4"/>
    <mergeCell ref="BT3:BX3"/>
    <mergeCell ref="BY3:CM3"/>
    <mergeCell ref="BT4:BX4"/>
    <mergeCell ref="BY4:CM4"/>
    <mergeCell ref="BT5:BX5"/>
    <mergeCell ref="BY5:CM5"/>
    <mergeCell ref="DL8:EB8"/>
    <mergeCell ref="BW9:CF9"/>
    <mergeCell ref="CG9:CP9"/>
    <mergeCell ref="CQ9:CZ9"/>
    <mergeCell ref="DA9:DJ9"/>
    <mergeCell ref="DA8:DJ8"/>
    <mergeCell ref="C9:F9"/>
    <mergeCell ref="G9:N9"/>
    <mergeCell ref="O9:X9"/>
    <mergeCell ref="Y9:AH9"/>
    <mergeCell ref="AI9:AR9"/>
    <mergeCell ref="AS9:BB9"/>
    <mergeCell ref="BC9:BL9"/>
    <mergeCell ref="BM9:BV9"/>
    <mergeCell ref="AS8:BB8"/>
    <mergeCell ref="BC8:BL8"/>
    <mergeCell ref="BM8:BV8"/>
    <mergeCell ref="BW8:CF8"/>
    <mergeCell ref="CG8:CP8"/>
    <mergeCell ref="CQ8:CZ8"/>
    <mergeCell ref="AX10:BB10"/>
    <mergeCell ref="BC10:BG10"/>
    <mergeCell ref="BH10:BL10"/>
    <mergeCell ref="C10:F10"/>
    <mergeCell ref="G10:N10"/>
    <mergeCell ref="O10:S10"/>
    <mergeCell ref="T10:X10"/>
    <mergeCell ref="Y10:AC10"/>
    <mergeCell ref="AD10:AH10"/>
    <mergeCell ref="O11:S11"/>
    <mergeCell ref="T11:X11"/>
    <mergeCell ref="Y11:AC11"/>
    <mergeCell ref="AD11:AH11"/>
    <mergeCell ref="AI11:AM11"/>
    <mergeCell ref="AN11:AR11"/>
    <mergeCell ref="AS11:AW11"/>
    <mergeCell ref="AI10:AM10"/>
    <mergeCell ref="AN10:AR10"/>
    <mergeCell ref="AS10:AW10"/>
    <mergeCell ref="CQ10:CU10"/>
    <mergeCell ref="CV10:CZ10"/>
    <mergeCell ref="DA10:DE10"/>
    <mergeCell ref="DF10:DJ10"/>
    <mergeCell ref="BM10:BQ10"/>
    <mergeCell ref="BR10:BV10"/>
    <mergeCell ref="BW10:CA10"/>
    <mergeCell ref="CB10:CF10"/>
    <mergeCell ref="CG10:CK10"/>
    <mergeCell ref="CL10:CP10"/>
    <mergeCell ref="DF11:DJ11"/>
    <mergeCell ref="C12:F12"/>
    <mergeCell ref="G12:N12"/>
    <mergeCell ref="O12:S12"/>
    <mergeCell ref="T12:X12"/>
    <mergeCell ref="Y12:AC12"/>
    <mergeCell ref="AD12:AH12"/>
    <mergeCell ref="CB11:CF11"/>
    <mergeCell ref="CG11:CK11"/>
    <mergeCell ref="CL11:CP11"/>
    <mergeCell ref="CQ11:CU11"/>
    <mergeCell ref="CV11:CZ11"/>
    <mergeCell ref="DA11:DE11"/>
    <mergeCell ref="AX11:BB11"/>
    <mergeCell ref="BC11:BG11"/>
    <mergeCell ref="BH11:BL11"/>
    <mergeCell ref="BM11:BQ11"/>
    <mergeCell ref="CQ12:CU12"/>
    <mergeCell ref="CV12:CZ12"/>
    <mergeCell ref="DA12:DE12"/>
    <mergeCell ref="BR11:BV11"/>
    <mergeCell ref="BW11:CA11"/>
    <mergeCell ref="C11:F11"/>
    <mergeCell ref="G11:N11"/>
    <mergeCell ref="C13:F13"/>
    <mergeCell ref="G13:N13"/>
    <mergeCell ref="O13:S13"/>
    <mergeCell ref="T13:X13"/>
    <mergeCell ref="Y13:AC13"/>
    <mergeCell ref="AD13:AH13"/>
    <mergeCell ref="AI13:AM13"/>
    <mergeCell ref="AN13:AR13"/>
    <mergeCell ref="AS13:AW13"/>
    <mergeCell ref="DF12:DJ12"/>
    <mergeCell ref="DL12:DR12"/>
    <mergeCell ref="DS12:DW12"/>
    <mergeCell ref="BM12:BQ12"/>
    <mergeCell ref="BR12:BV12"/>
    <mergeCell ref="BW12:CA12"/>
    <mergeCell ref="CB12:CF12"/>
    <mergeCell ref="CG12:CK12"/>
    <mergeCell ref="CL12:CP12"/>
    <mergeCell ref="AI12:AM12"/>
    <mergeCell ref="AN12:AR12"/>
    <mergeCell ref="CQ13:CU13"/>
    <mergeCell ref="CV13:CZ13"/>
    <mergeCell ref="DA13:DE13"/>
    <mergeCell ref="AX13:BB13"/>
    <mergeCell ref="BC13:BG13"/>
    <mergeCell ref="BH13:BL13"/>
    <mergeCell ref="BM13:BQ13"/>
    <mergeCell ref="BR13:BV13"/>
    <mergeCell ref="BW13:CA13"/>
    <mergeCell ref="AS12:AW12"/>
    <mergeCell ref="AX12:BB12"/>
    <mergeCell ref="BC12:BG12"/>
    <mergeCell ref="BH12:BL12"/>
    <mergeCell ref="O14:S14"/>
    <mergeCell ref="T14:X14"/>
    <mergeCell ref="Y14:AC14"/>
    <mergeCell ref="AD14:AH14"/>
    <mergeCell ref="CB13:CF13"/>
    <mergeCell ref="CG13:CK13"/>
    <mergeCell ref="CL13:CP13"/>
    <mergeCell ref="AI14:AM14"/>
    <mergeCell ref="AN14:AR14"/>
    <mergeCell ref="AS14:AW14"/>
    <mergeCell ref="AX14:BB14"/>
    <mergeCell ref="BC14:BG14"/>
    <mergeCell ref="DF13:DJ13"/>
    <mergeCell ref="BR15:BV15"/>
    <mergeCell ref="BW15:CA15"/>
    <mergeCell ref="C15:F15"/>
    <mergeCell ref="G15:N15"/>
    <mergeCell ref="O15:S15"/>
    <mergeCell ref="T15:X15"/>
    <mergeCell ref="Y15:AC15"/>
    <mergeCell ref="AD15:AH15"/>
    <mergeCell ref="AI15:AM15"/>
    <mergeCell ref="AN15:AR15"/>
    <mergeCell ref="AS15:AW15"/>
    <mergeCell ref="CQ14:CU14"/>
    <mergeCell ref="CV14:CZ14"/>
    <mergeCell ref="DA14:DE14"/>
    <mergeCell ref="DF14:DJ14"/>
    <mergeCell ref="BM14:BQ14"/>
    <mergeCell ref="BR14:BV14"/>
    <mergeCell ref="BW14:CA14"/>
    <mergeCell ref="CB14:CF14"/>
    <mergeCell ref="CG14:CK14"/>
    <mergeCell ref="CL14:CP14"/>
    <mergeCell ref="C14:F14"/>
    <mergeCell ref="G14:N14"/>
    <mergeCell ref="BH16:BL16"/>
    <mergeCell ref="DF15:DJ15"/>
    <mergeCell ref="BH14:BL14"/>
    <mergeCell ref="DL15:DR15"/>
    <mergeCell ref="DS15:DW15"/>
    <mergeCell ref="DX15:EB15"/>
    <mergeCell ref="CQ15:CU15"/>
    <mergeCell ref="CV15:CZ15"/>
    <mergeCell ref="DA15:DE15"/>
    <mergeCell ref="DX16:EB16"/>
    <mergeCell ref="CQ16:CU16"/>
    <mergeCell ref="CV16:CZ16"/>
    <mergeCell ref="DA16:DE16"/>
    <mergeCell ref="DF16:DJ16"/>
    <mergeCell ref="DL16:DR16"/>
    <mergeCell ref="DS16:DW16"/>
    <mergeCell ref="C16:F16"/>
    <mergeCell ref="G16:N16"/>
    <mergeCell ref="O16:S16"/>
    <mergeCell ref="T16:X16"/>
    <mergeCell ref="Y16:AC16"/>
    <mergeCell ref="AD16:AH16"/>
    <mergeCell ref="CB15:CF15"/>
    <mergeCell ref="CG15:CK15"/>
    <mergeCell ref="CL15:CP15"/>
    <mergeCell ref="AX15:BB15"/>
    <mergeCell ref="BC15:BG15"/>
    <mergeCell ref="BH15:BL15"/>
    <mergeCell ref="BM15:BQ15"/>
    <mergeCell ref="BM16:BQ16"/>
    <mergeCell ref="BR16:BV16"/>
    <mergeCell ref="BW16:CA16"/>
    <mergeCell ref="CB16:CF16"/>
    <mergeCell ref="CG16:CK16"/>
    <mergeCell ref="CL16:CP16"/>
    <mergeCell ref="AI16:AM16"/>
    <mergeCell ref="AN16:AR16"/>
    <mergeCell ref="AS16:AW16"/>
    <mergeCell ref="AX16:BB16"/>
    <mergeCell ref="BC16:BG16"/>
    <mergeCell ref="C17:F17"/>
    <mergeCell ref="G17:N17"/>
    <mergeCell ref="O17:S17"/>
    <mergeCell ref="T17:X17"/>
    <mergeCell ref="Y17:AC17"/>
    <mergeCell ref="AD17:AH17"/>
    <mergeCell ref="AI17:AM17"/>
    <mergeCell ref="AN17:AR17"/>
    <mergeCell ref="AS17:AW17"/>
    <mergeCell ref="DF17:DJ17"/>
    <mergeCell ref="G18:N18"/>
    <mergeCell ref="O18:S18"/>
    <mergeCell ref="T18:X18"/>
    <mergeCell ref="Y18:AC18"/>
    <mergeCell ref="AD18:AH18"/>
    <mergeCell ref="AI18:AM18"/>
    <mergeCell ref="CB17:CF17"/>
    <mergeCell ref="CG17:CK17"/>
    <mergeCell ref="CL17:CP17"/>
    <mergeCell ref="CQ17:CU17"/>
    <mergeCell ref="CV17:CZ17"/>
    <mergeCell ref="DA17:DE17"/>
    <mergeCell ref="AX17:BB17"/>
    <mergeCell ref="BC17:BG17"/>
    <mergeCell ref="BH17:BL17"/>
    <mergeCell ref="BM17:BQ17"/>
    <mergeCell ref="BR17:BV17"/>
    <mergeCell ref="BW17:CA17"/>
    <mergeCell ref="C20:F20"/>
    <mergeCell ref="G20:N20"/>
    <mergeCell ref="O20:S20"/>
    <mergeCell ref="T20:X20"/>
    <mergeCell ref="Y20:AC20"/>
    <mergeCell ref="AD20:AH20"/>
    <mergeCell ref="CV18:CZ18"/>
    <mergeCell ref="DA18:DE18"/>
    <mergeCell ref="DF18:DJ18"/>
    <mergeCell ref="AN18:AR18"/>
    <mergeCell ref="AS18:AW18"/>
    <mergeCell ref="AX18:BB18"/>
    <mergeCell ref="BC18:BG18"/>
    <mergeCell ref="BH18:BL18"/>
    <mergeCell ref="BM18:BQ18"/>
    <mergeCell ref="BW20:CA20"/>
    <mergeCell ref="CB20:CF20"/>
    <mergeCell ref="CL20:CP20"/>
    <mergeCell ref="AI20:AM20"/>
    <mergeCell ref="AN20:AR20"/>
    <mergeCell ref="AS20:AW20"/>
    <mergeCell ref="AX20:BB20"/>
    <mergeCell ref="BC20:BG20"/>
    <mergeCell ref="BH20:BL20"/>
    <mergeCell ref="CG21:CP21"/>
    <mergeCell ref="BR18:BV18"/>
    <mergeCell ref="BW18:CA18"/>
    <mergeCell ref="CB18:CF18"/>
    <mergeCell ref="CG18:CK18"/>
    <mergeCell ref="CL18:CP18"/>
    <mergeCell ref="CQ18:CU18"/>
    <mergeCell ref="CQ21:CZ21"/>
    <mergeCell ref="DA21:DJ21"/>
    <mergeCell ref="CQ20:CU20"/>
    <mergeCell ref="CV20:CZ20"/>
    <mergeCell ref="DA20:DE20"/>
    <mergeCell ref="DF20:DJ20"/>
    <mergeCell ref="C21:F21"/>
    <mergeCell ref="G21:N21"/>
    <mergeCell ref="O21:X21"/>
    <mergeCell ref="Y21:AH21"/>
    <mergeCell ref="AI21:AR21"/>
    <mergeCell ref="AS21:BB21"/>
    <mergeCell ref="BC21:BL21"/>
    <mergeCell ref="BM21:BV21"/>
    <mergeCell ref="BW21:CF21"/>
    <mergeCell ref="BM20:BQ20"/>
    <mergeCell ref="BR20:BV20"/>
    <mergeCell ref="CG20:CK20"/>
    <mergeCell ref="DL22:DR22"/>
    <mergeCell ref="DS22:DW22"/>
    <mergeCell ref="DX22:EB22"/>
    <mergeCell ref="C23:F23"/>
    <mergeCell ref="O23:X23"/>
    <mergeCell ref="Y23:AH23"/>
    <mergeCell ref="AI23:AR23"/>
    <mergeCell ref="AS23:BB23"/>
    <mergeCell ref="BC22:BL22"/>
    <mergeCell ref="BM22:BV22"/>
    <mergeCell ref="BW22:CF22"/>
    <mergeCell ref="CG22:CP22"/>
    <mergeCell ref="CQ22:CZ22"/>
    <mergeCell ref="DA22:DJ22"/>
    <mergeCell ref="C22:F22"/>
    <mergeCell ref="G22:N22"/>
    <mergeCell ref="O22:X22"/>
    <mergeCell ref="Y22:AH22"/>
    <mergeCell ref="AI22:AR22"/>
    <mergeCell ref="AS22:BB22"/>
    <mergeCell ref="DL23:DR23"/>
    <mergeCell ref="BC23:BL23"/>
    <mergeCell ref="BM23:BV23"/>
    <mergeCell ref="BW23:CF23"/>
    <mergeCell ref="CG23:CP23"/>
    <mergeCell ref="CQ23:CZ23"/>
    <mergeCell ref="DA23:DJ23"/>
    <mergeCell ref="DL25:DR25"/>
    <mergeCell ref="DS25:DW25"/>
    <mergeCell ref="BW25:CF25"/>
    <mergeCell ref="CG25:CP25"/>
    <mergeCell ref="CQ25:CZ25"/>
    <mergeCell ref="DA25:DJ25"/>
    <mergeCell ref="BC25:BL25"/>
    <mergeCell ref="BM25:BV25"/>
    <mergeCell ref="C25:F25"/>
    <mergeCell ref="G25:N25"/>
    <mergeCell ref="O25:X25"/>
    <mergeCell ref="Y25:AH25"/>
    <mergeCell ref="AI25:AR25"/>
    <mergeCell ref="AS25:BB25"/>
    <mergeCell ref="C24:F24"/>
    <mergeCell ref="C27:F27"/>
    <mergeCell ref="G27:N27"/>
    <mergeCell ref="O27:S27"/>
    <mergeCell ref="T27:X27"/>
    <mergeCell ref="Y27:AC27"/>
    <mergeCell ref="AD27:AH27"/>
    <mergeCell ref="AI27:AM27"/>
    <mergeCell ref="AN27:AR27"/>
    <mergeCell ref="BM26:BV26"/>
    <mergeCell ref="C26:F26"/>
    <mergeCell ref="G26:N26"/>
    <mergeCell ref="O26:X26"/>
    <mergeCell ref="Y26:AH26"/>
    <mergeCell ref="AI26:AR26"/>
    <mergeCell ref="AS26:BB26"/>
    <mergeCell ref="BC26:BL26"/>
    <mergeCell ref="BW26:CF26"/>
    <mergeCell ref="CG26:CP26"/>
    <mergeCell ref="CQ26:CZ26"/>
    <mergeCell ref="DA26:DJ26"/>
    <mergeCell ref="C28:F28"/>
    <mergeCell ref="G28:N28"/>
    <mergeCell ref="O28:S28"/>
    <mergeCell ref="T28:X28"/>
    <mergeCell ref="Y28:AC28"/>
    <mergeCell ref="BW27:CA27"/>
    <mergeCell ref="CB27:CF27"/>
    <mergeCell ref="CG27:CK27"/>
    <mergeCell ref="CL27:CP27"/>
    <mergeCell ref="AS27:AW27"/>
    <mergeCell ref="AX27:BB27"/>
    <mergeCell ref="BC27:BG27"/>
    <mergeCell ref="BH27:BL27"/>
    <mergeCell ref="BM27:BQ27"/>
    <mergeCell ref="BR27:BV27"/>
    <mergeCell ref="AN28:AR28"/>
    <mergeCell ref="AS28:AW28"/>
    <mergeCell ref="AX28:BB28"/>
    <mergeCell ref="BC28:BG28"/>
    <mergeCell ref="DA27:DE27"/>
    <mergeCell ref="DF27:DJ27"/>
    <mergeCell ref="CQ27:CU27"/>
    <mergeCell ref="CV27:CZ27"/>
    <mergeCell ref="CQ28:CU28"/>
    <mergeCell ref="CV28:CZ28"/>
    <mergeCell ref="DA28:DE28"/>
    <mergeCell ref="DF28:DJ28"/>
    <mergeCell ref="CL28:CP28"/>
    <mergeCell ref="BH28:BL28"/>
    <mergeCell ref="BM28:BQ28"/>
    <mergeCell ref="BR28:BV28"/>
    <mergeCell ref="BW28:CA28"/>
    <mergeCell ref="CB28:CF28"/>
    <mergeCell ref="CG28:CK28"/>
    <mergeCell ref="AD28:AH28"/>
    <mergeCell ref="AI28:AM28"/>
    <mergeCell ref="CQ29:CU29"/>
    <mergeCell ref="CV29:CZ29"/>
    <mergeCell ref="DA29:DE29"/>
    <mergeCell ref="AX29:BB29"/>
    <mergeCell ref="BC29:BG29"/>
    <mergeCell ref="BH29:BL29"/>
    <mergeCell ref="BM29:BQ29"/>
    <mergeCell ref="BR29:BV29"/>
    <mergeCell ref="BW29:CA29"/>
    <mergeCell ref="G30:N30"/>
    <mergeCell ref="O30:S30"/>
    <mergeCell ref="T30:X30"/>
    <mergeCell ref="Y30:AC30"/>
    <mergeCell ref="AD30:AH30"/>
    <mergeCell ref="AI30:AM30"/>
    <mergeCell ref="CB29:CF29"/>
    <mergeCell ref="CG29:CK29"/>
    <mergeCell ref="CL29:CP29"/>
    <mergeCell ref="AN30:AR30"/>
    <mergeCell ref="AS30:AW30"/>
    <mergeCell ref="AX30:BB30"/>
    <mergeCell ref="BC30:BG30"/>
    <mergeCell ref="BH30:BL30"/>
    <mergeCell ref="G29:N29"/>
    <mergeCell ref="O29:S29"/>
    <mergeCell ref="T29:X29"/>
    <mergeCell ref="Y29:AC29"/>
    <mergeCell ref="AD29:AH29"/>
    <mergeCell ref="AI29:AM29"/>
    <mergeCell ref="AN29:AR29"/>
    <mergeCell ref="AS29:AW29"/>
    <mergeCell ref="BM30:BQ30"/>
    <mergeCell ref="DL31:DR31"/>
    <mergeCell ref="DS31:DW31"/>
    <mergeCell ref="DX31:EB31"/>
    <mergeCell ref="DF29:DJ29"/>
    <mergeCell ref="CV30:CZ30"/>
    <mergeCell ref="DA30:DE30"/>
    <mergeCell ref="DF30:DJ30"/>
    <mergeCell ref="DX30:EB30"/>
    <mergeCell ref="BR30:BV30"/>
    <mergeCell ref="BW30:CA30"/>
    <mergeCell ref="CB30:CF30"/>
    <mergeCell ref="CG30:CK30"/>
    <mergeCell ref="CL30:CP30"/>
    <mergeCell ref="CQ30:CU30"/>
    <mergeCell ref="AI31:AM31"/>
    <mergeCell ref="CV31:CZ31"/>
    <mergeCell ref="DA31:DE31"/>
    <mergeCell ref="DF31:DJ31"/>
    <mergeCell ref="BR31:BV31"/>
    <mergeCell ref="BW31:CA31"/>
    <mergeCell ref="CB31:CF31"/>
    <mergeCell ref="CG31:CK31"/>
    <mergeCell ref="CL31:CP31"/>
    <mergeCell ref="CQ31:CU31"/>
    <mergeCell ref="AN31:AR31"/>
    <mergeCell ref="AS31:AW31"/>
    <mergeCell ref="AX31:BB31"/>
    <mergeCell ref="BC31:BG31"/>
    <mergeCell ref="BH31:BL31"/>
    <mergeCell ref="BM31:BQ31"/>
    <mergeCell ref="DA32:DE32"/>
    <mergeCell ref="DF32:DJ32"/>
    <mergeCell ref="BR32:BV32"/>
    <mergeCell ref="BW32:CA32"/>
    <mergeCell ref="CB32:CF32"/>
    <mergeCell ref="CG32:CK32"/>
    <mergeCell ref="CL32:CP32"/>
    <mergeCell ref="CQ32:CU32"/>
    <mergeCell ref="BH33:BL33"/>
    <mergeCell ref="BM33:BQ33"/>
    <mergeCell ref="DA33:DE33"/>
    <mergeCell ref="DF33:DJ33"/>
    <mergeCell ref="CL33:CP33"/>
    <mergeCell ref="CQ33:CU33"/>
    <mergeCell ref="G33:N33"/>
    <mergeCell ref="O33:S33"/>
    <mergeCell ref="T33:X33"/>
    <mergeCell ref="Y33:AC33"/>
    <mergeCell ref="AD33:AH33"/>
    <mergeCell ref="AI33:AM33"/>
    <mergeCell ref="CV32:CZ32"/>
    <mergeCell ref="AN32:AR32"/>
    <mergeCell ref="AS32:AW32"/>
    <mergeCell ref="AX32:BB32"/>
    <mergeCell ref="BC32:BG32"/>
    <mergeCell ref="BH32:BL32"/>
    <mergeCell ref="BM32:BQ32"/>
    <mergeCell ref="G32:N32"/>
    <mergeCell ref="O32:S32"/>
    <mergeCell ref="T32:X32"/>
    <mergeCell ref="Y32:AC32"/>
    <mergeCell ref="AD32:AH32"/>
    <mergeCell ref="AI32:AM32"/>
    <mergeCell ref="CV33:CZ33"/>
    <mergeCell ref="BR33:BV33"/>
    <mergeCell ref="BW33:CA33"/>
    <mergeCell ref="CB33:CF33"/>
    <mergeCell ref="CG33:CK33"/>
    <mergeCell ref="DA34:DE34"/>
    <mergeCell ref="DF34:DJ34"/>
    <mergeCell ref="BR34:BV34"/>
    <mergeCell ref="BW34:CA34"/>
    <mergeCell ref="CB34:CF34"/>
    <mergeCell ref="CG34:CK34"/>
    <mergeCell ref="CL34:CP34"/>
    <mergeCell ref="CQ34:CU34"/>
    <mergeCell ref="BH35:BL35"/>
    <mergeCell ref="BM35:BQ35"/>
    <mergeCell ref="DA35:DE35"/>
    <mergeCell ref="DF35:DJ35"/>
    <mergeCell ref="CL35:CP35"/>
    <mergeCell ref="CQ35:CU35"/>
    <mergeCell ref="G35:N35"/>
    <mergeCell ref="O35:S35"/>
    <mergeCell ref="T35:X35"/>
    <mergeCell ref="Y35:AC35"/>
    <mergeCell ref="AD35:AH35"/>
    <mergeCell ref="AI35:AM35"/>
    <mergeCell ref="CV34:CZ34"/>
    <mergeCell ref="AN34:AR34"/>
    <mergeCell ref="AS34:AW34"/>
    <mergeCell ref="AX34:BB34"/>
    <mergeCell ref="BC34:BG34"/>
    <mergeCell ref="BH34:BL34"/>
    <mergeCell ref="BM34:BQ34"/>
    <mergeCell ref="G34:N34"/>
    <mergeCell ref="O34:S34"/>
    <mergeCell ref="T34:X34"/>
    <mergeCell ref="Y34:AC34"/>
    <mergeCell ref="AD34:AH34"/>
    <mergeCell ref="AI34:AM34"/>
    <mergeCell ref="CV35:CZ35"/>
    <mergeCell ref="BR35:BV35"/>
    <mergeCell ref="BW35:CA35"/>
    <mergeCell ref="CB35:CF35"/>
    <mergeCell ref="CG35:CK35"/>
    <mergeCell ref="CB37:CF37"/>
    <mergeCell ref="CG37:CK37"/>
    <mergeCell ref="AD37:AH37"/>
    <mergeCell ref="AI37:AM37"/>
    <mergeCell ref="AN37:AR37"/>
    <mergeCell ref="AS37:AW37"/>
    <mergeCell ref="AX37:BB37"/>
    <mergeCell ref="BC37:BG37"/>
    <mergeCell ref="C37:F37"/>
    <mergeCell ref="G37:N37"/>
    <mergeCell ref="O37:S37"/>
    <mergeCell ref="T37:X37"/>
    <mergeCell ref="Y37:AC37"/>
    <mergeCell ref="AS39:BB39"/>
    <mergeCell ref="BC39:BL39"/>
    <mergeCell ref="BM39:BV39"/>
    <mergeCell ref="BW39:CF39"/>
    <mergeCell ref="DS37:DW37"/>
    <mergeCell ref="DX37:EB37"/>
    <mergeCell ref="C38:F38"/>
    <mergeCell ref="G38:N38"/>
    <mergeCell ref="O38:X38"/>
    <mergeCell ref="Y38:AH38"/>
    <mergeCell ref="AI38:AR38"/>
    <mergeCell ref="AS38:BB38"/>
    <mergeCell ref="BC38:BL38"/>
    <mergeCell ref="BM38:BV38"/>
    <mergeCell ref="CL37:CP37"/>
    <mergeCell ref="CQ37:CU37"/>
    <mergeCell ref="CV37:CZ37"/>
    <mergeCell ref="DA37:DE37"/>
    <mergeCell ref="DF37:DJ37"/>
    <mergeCell ref="DL37:DR37"/>
    <mergeCell ref="BH37:BL37"/>
    <mergeCell ref="BM37:BQ37"/>
    <mergeCell ref="BR37:BV37"/>
    <mergeCell ref="BW37:CA37"/>
    <mergeCell ref="BW38:CF38"/>
    <mergeCell ref="CG38:CP38"/>
    <mergeCell ref="CQ38:CZ38"/>
    <mergeCell ref="DA38:DJ38"/>
    <mergeCell ref="DA40:DJ40"/>
    <mergeCell ref="C41:F41"/>
    <mergeCell ref="AS40:BB40"/>
    <mergeCell ref="BC40:BL40"/>
    <mergeCell ref="BM40:BV40"/>
    <mergeCell ref="BW40:CF40"/>
    <mergeCell ref="CG40:CP40"/>
    <mergeCell ref="CQ40:CZ40"/>
    <mergeCell ref="C40:F40"/>
    <mergeCell ref="O40:X40"/>
    <mergeCell ref="Y40:AH40"/>
    <mergeCell ref="AI40:AR40"/>
    <mergeCell ref="CG39:CP39"/>
    <mergeCell ref="CQ39:CZ39"/>
    <mergeCell ref="DA39:DJ39"/>
    <mergeCell ref="C39:F39"/>
    <mergeCell ref="G39:N39"/>
    <mergeCell ref="O39:X39"/>
    <mergeCell ref="Y39:AH39"/>
    <mergeCell ref="AI39:AR39"/>
    <mergeCell ref="C43:F43"/>
    <mergeCell ref="G43:V43"/>
    <mergeCell ref="W43:AD43"/>
    <mergeCell ref="AF43:AU43"/>
    <mergeCell ref="AV43:BC43"/>
    <mergeCell ref="BE43:BT43"/>
    <mergeCell ref="BU43:CB43"/>
    <mergeCell ref="C42:F42"/>
    <mergeCell ref="G42:AD42"/>
    <mergeCell ref="AF42:BC42"/>
    <mergeCell ref="BE42:CB42"/>
    <mergeCell ref="CD43:CS43"/>
    <mergeCell ref="CT43:DA43"/>
    <mergeCell ref="DB43:DI43"/>
    <mergeCell ref="CD42:DA42"/>
    <mergeCell ref="DB42:DI42"/>
    <mergeCell ref="CT44:DA44"/>
    <mergeCell ref="DB44:DI44"/>
    <mergeCell ref="C45:F45"/>
    <mergeCell ref="G45:N45"/>
    <mergeCell ref="O45:V45"/>
    <mergeCell ref="W45:AD45"/>
    <mergeCell ref="AF45:AM45"/>
    <mergeCell ref="AV44:BC44"/>
    <mergeCell ref="BE44:BL44"/>
    <mergeCell ref="BM44:BT44"/>
    <mergeCell ref="BU44:CB44"/>
    <mergeCell ref="CD44:CK44"/>
    <mergeCell ref="CL44:CS44"/>
    <mergeCell ref="C44:F44"/>
    <mergeCell ref="G44:N44"/>
    <mergeCell ref="O44:V44"/>
    <mergeCell ref="W44:AD44"/>
    <mergeCell ref="AF44:AM44"/>
    <mergeCell ref="AN44:AU44"/>
    <mergeCell ref="AN47:AU47"/>
    <mergeCell ref="AV47:BC47"/>
    <mergeCell ref="CL45:CS45"/>
    <mergeCell ref="CT45:DA45"/>
    <mergeCell ref="DB45:DI45"/>
    <mergeCell ref="AN45:AU45"/>
    <mergeCell ref="AV45:BC45"/>
    <mergeCell ref="BE45:BL45"/>
    <mergeCell ref="BM45:BT45"/>
    <mergeCell ref="BU45:CB45"/>
    <mergeCell ref="CD45:CK45"/>
    <mergeCell ref="AF48:AM48"/>
    <mergeCell ref="AN48:AU48"/>
    <mergeCell ref="CT46:DA46"/>
    <mergeCell ref="DB46:DI46"/>
    <mergeCell ref="C47:F47"/>
    <mergeCell ref="G47:N47"/>
    <mergeCell ref="O47:V47"/>
    <mergeCell ref="W47:AD47"/>
    <mergeCell ref="AF47:AM47"/>
    <mergeCell ref="AV46:BC46"/>
    <mergeCell ref="BE46:BL46"/>
    <mergeCell ref="BM46:BT46"/>
    <mergeCell ref="BU46:CB46"/>
    <mergeCell ref="CD46:CK46"/>
    <mergeCell ref="CL46:CS46"/>
    <mergeCell ref="C46:F46"/>
    <mergeCell ref="G46:N46"/>
    <mergeCell ref="O46:V46"/>
    <mergeCell ref="W46:AD46"/>
    <mergeCell ref="AF46:AM46"/>
    <mergeCell ref="AN46:AU46"/>
    <mergeCell ref="CL47:CS47"/>
    <mergeCell ref="CT47:DA47"/>
    <mergeCell ref="DB47:DI47"/>
    <mergeCell ref="BE49:BL49"/>
    <mergeCell ref="BM49:BT49"/>
    <mergeCell ref="BE47:BL47"/>
    <mergeCell ref="BM47:BT47"/>
    <mergeCell ref="BU47:CB47"/>
    <mergeCell ref="CD47:CK47"/>
    <mergeCell ref="DB48:DI48"/>
    <mergeCell ref="C49:F49"/>
    <mergeCell ref="G49:N49"/>
    <mergeCell ref="O49:V49"/>
    <mergeCell ref="W49:AD49"/>
    <mergeCell ref="AF49:AM49"/>
    <mergeCell ref="AN49:AU49"/>
    <mergeCell ref="AV49:BC49"/>
    <mergeCell ref="AV48:BC48"/>
    <mergeCell ref="BE48:BT48"/>
    <mergeCell ref="BU48:CB48"/>
    <mergeCell ref="CD48:CK48"/>
    <mergeCell ref="CL48:CS48"/>
    <mergeCell ref="CT48:DA48"/>
    <mergeCell ref="C48:F48"/>
    <mergeCell ref="G48:N48"/>
    <mergeCell ref="O48:V48"/>
    <mergeCell ref="W48:AD48"/>
    <mergeCell ref="BU49:CB49"/>
    <mergeCell ref="CD49:CS49"/>
    <mergeCell ref="CT49:DA49"/>
    <mergeCell ref="DB49:DI49"/>
    <mergeCell ref="DS50:DW50"/>
    <mergeCell ref="DL50:DR50"/>
    <mergeCell ref="DS49:DW49"/>
    <mergeCell ref="DL49:DR49"/>
    <mergeCell ref="CD51:CK51"/>
    <mergeCell ref="CL51:CS51"/>
    <mergeCell ref="DB50:DI50"/>
    <mergeCell ref="CD50:CK50"/>
    <mergeCell ref="CL50:CS50"/>
    <mergeCell ref="CT50:DA50"/>
    <mergeCell ref="C51:F51"/>
    <mergeCell ref="G51:N51"/>
    <mergeCell ref="O51:V51"/>
    <mergeCell ref="W51:AD51"/>
    <mergeCell ref="AF51:AM51"/>
    <mergeCell ref="AN51:AU51"/>
    <mergeCell ref="BE50:BL50"/>
    <mergeCell ref="BM50:BT50"/>
    <mergeCell ref="BU50:CB50"/>
    <mergeCell ref="C50:F50"/>
    <mergeCell ref="G50:N50"/>
    <mergeCell ref="O50:V50"/>
    <mergeCell ref="W50:AD50"/>
    <mergeCell ref="AF50:AM50"/>
    <mergeCell ref="AN50:AU50"/>
    <mergeCell ref="AV50:BC50"/>
    <mergeCell ref="G52:N52"/>
    <mergeCell ref="O52:V52"/>
    <mergeCell ref="W52:AD52"/>
    <mergeCell ref="AF52:AM52"/>
    <mergeCell ref="AN52:AU52"/>
    <mergeCell ref="AV51:BC51"/>
    <mergeCell ref="BE51:BL51"/>
    <mergeCell ref="BM51:BT51"/>
    <mergeCell ref="BU51:CB51"/>
    <mergeCell ref="DW57:EA57"/>
    <mergeCell ref="G40:N40"/>
    <mergeCell ref="G23:N23"/>
    <mergeCell ref="CT52:DA52"/>
    <mergeCell ref="DB52:DI52"/>
    <mergeCell ref="DL52:DR52"/>
    <mergeCell ref="DS52:DW52"/>
    <mergeCell ref="DX52:EB52"/>
    <mergeCell ref="B53:BT57"/>
    <mergeCell ref="DN55:EA55"/>
    <mergeCell ref="DM57:DP57"/>
    <mergeCell ref="DQ57:DS57"/>
    <mergeCell ref="DT57:DV57"/>
    <mergeCell ref="AV52:BC52"/>
    <mergeCell ref="BE52:BL52"/>
    <mergeCell ref="BM52:BT52"/>
    <mergeCell ref="BU52:CB52"/>
    <mergeCell ref="CD52:CK52"/>
    <mergeCell ref="CL52:CS52"/>
    <mergeCell ref="CT51:DA51"/>
    <mergeCell ref="DB51:DI51"/>
    <mergeCell ref="DL51:DR51"/>
    <mergeCell ref="DS51:DW51"/>
    <mergeCell ref="DX51:EB51"/>
    <mergeCell ref="G19:N19"/>
    <mergeCell ref="G36:N36"/>
    <mergeCell ref="BC36:BG36"/>
    <mergeCell ref="AS36:AW36"/>
    <mergeCell ref="AI36:AM36"/>
    <mergeCell ref="Y36:AC36"/>
    <mergeCell ref="O36:S36"/>
    <mergeCell ref="T36:X36"/>
    <mergeCell ref="AD36:AH36"/>
    <mergeCell ref="AN36:AR36"/>
    <mergeCell ref="AX36:BB36"/>
    <mergeCell ref="AN35:AR35"/>
    <mergeCell ref="AS35:AW35"/>
    <mergeCell ref="AX35:BB35"/>
    <mergeCell ref="BC35:BG35"/>
    <mergeCell ref="AN33:AR33"/>
    <mergeCell ref="AS33:AW33"/>
    <mergeCell ref="AX33:BB33"/>
    <mergeCell ref="BC33:BG33"/>
    <mergeCell ref="G31:N31"/>
    <mergeCell ref="O31:S31"/>
    <mergeCell ref="T31:X31"/>
    <mergeCell ref="Y31:AC31"/>
    <mergeCell ref="AD31:AH31"/>
  </mergeCells>
  <printOptions gridLinesSet="0"/>
  <pageMargins left="0.55118110236220474" right="0.15748031496062992" top="0.39370078740157483" bottom="0.39370078740157483" header="0.11811023622047245" footer="0.11811023622047245"/>
  <pageSetup paperSize="8" scale="85" orientation="landscape" r:id="rId1"/>
  <headerFooter alignWithMargins="0">
    <oddFooter>&amp;R&amp;8&amp;F</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B0332-5162-4879-8889-E025823A705E}">
  <sheetPr>
    <pageSetUpPr fitToPage="1"/>
  </sheetPr>
  <dimension ref="A2:BJ65"/>
  <sheetViews>
    <sheetView showGridLines="0" topLeftCell="A5" zoomScaleNormal="100" zoomScaleSheetLayoutView="100" workbookViewId="0">
      <selection activeCell="BK26" sqref="BK26"/>
    </sheetView>
  </sheetViews>
  <sheetFormatPr baseColWidth="10" defaultColWidth="8.83203125" defaultRowHeight="13" x14ac:dyDescent="0.15"/>
  <cols>
    <col min="1" max="2" width="2.83203125" style="7" customWidth="1"/>
    <col min="3" max="62" width="1.6640625" style="7" customWidth="1"/>
  </cols>
  <sheetData>
    <row r="2" spans="1:62" x14ac:dyDescent="0.15">
      <c r="A2" s="7">
        <v>1</v>
      </c>
      <c r="B2" s="213" t="s">
        <v>0</v>
      </c>
      <c r="C2" s="214"/>
      <c r="D2" s="214"/>
      <c r="E2" s="214"/>
      <c r="F2" s="214"/>
      <c r="G2" s="148" t="s">
        <v>40</v>
      </c>
      <c r="H2" s="148"/>
      <c r="I2" s="148"/>
      <c r="J2" s="148"/>
      <c r="K2" s="148"/>
      <c r="L2" s="148"/>
      <c r="M2" s="148"/>
      <c r="N2" s="148"/>
      <c r="O2" s="148"/>
      <c r="P2" s="148"/>
      <c r="Q2" s="148"/>
      <c r="R2" s="148"/>
      <c r="S2" s="148"/>
      <c r="T2" s="148"/>
      <c r="U2" s="148"/>
      <c r="V2" s="3"/>
      <c r="W2" s="4"/>
      <c r="X2" s="4"/>
      <c r="Y2" s="4"/>
      <c r="Z2" s="4"/>
      <c r="AA2" s="4"/>
      <c r="AB2" s="4"/>
      <c r="AC2" s="4"/>
      <c r="AD2" s="4"/>
      <c r="AE2" s="4"/>
      <c r="AF2" s="4"/>
      <c r="AG2" s="4"/>
      <c r="AH2" s="4"/>
      <c r="AI2" s="4"/>
      <c r="AJ2" s="4"/>
      <c r="AK2" s="4"/>
      <c r="AL2" s="5"/>
      <c r="AM2" s="4"/>
      <c r="AN2" s="108" t="s">
        <v>12</v>
      </c>
      <c r="AO2" s="108"/>
      <c r="AP2" s="108"/>
      <c r="AQ2" s="108"/>
      <c r="AR2" s="108"/>
      <c r="AS2" s="108"/>
      <c r="AT2" s="108"/>
      <c r="AU2" s="108"/>
      <c r="AV2" s="108"/>
      <c r="AW2" s="108"/>
      <c r="AX2" s="108"/>
      <c r="AY2" s="108"/>
      <c r="AZ2" s="108"/>
      <c r="BA2" s="108"/>
      <c r="BB2" s="108"/>
      <c r="BC2" s="108"/>
      <c r="BD2" s="108"/>
      <c r="BE2" s="108"/>
      <c r="BF2" s="108"/>
      <c r="BG2" s="108"/>
      <c r="BH2" s="108"/>
      <c r="BI2" s="108"/>
      <c r="BJ2" s="6"/>
    </row>
    <row r="3" spans="1:62" x14ac:dyDescent="0.15">
      <c r="A3" s="7">
        <v>2</v>
      </c>
      <c r="B3" s="198" t="s">
        <v>1</v>
      </c>
      <c r="C3" s="199"/>
      <c r="D3" s="199"/>
      <c r="E3" s="199"/>
      <c r="F3" s="199"/>
      <c r="G3" s="123" t="s">
        <v>41</v>
      </c>
      <c r="H3" s="123"/>
      <c r="I3" s="123"/>
      <c r="J3" s="123"/>
      <c r="K3" s="123"/>
      <c r="L3" s="123"/>
      <c r="M3" s="123"/>
      <c r="N3" s="123"/>
      <c r="O3" s="123"/>
      <c r="P3" s="123"/>
      <c r="Q3" s="123"/>
      <c r="R3" s="123"/>
      <c r="S3" s="123"/>
      <c r="T3" s="123"/>
      <c r="U3" s="123"/>
      <c r="V3" s="10"/>
      <c r="W3" s="11"/>
      <c r="X3" s="11"/>
      <c r="Y3" s="11"/>
      <c r="Z3" s="11"/>
      <c r="AA3" s="11"/>
      <c r="AB3" s="11"/>
      <c r="AC3" s="11"/>
      <c r="AD3" s="11"/>
      <c r="AE3" s="11"/>
      <c r="AF3" s="11"/>
      <c r="AG3" s="11"/>
      <c r="AH3" s="11"/>
      <c r="AI3" s="11"/>
      <c r="AJ3" s="11"/>
      <c r="AK3" s="11"/>
      <c r="AL3" s="12"/>
      <c r="AM3" s="11"/>
      <c r="AN3" s="215"/>
      <c r="AO3" s="215"/>
      <c r="AP3" s="215"/>
      <c r="AQ3" s="215"/>
      <c r="AR3" s="215"/>
      <c r="AS3" s="215"/>
      <c r="AT3" s="215"/>
      <c r="AU3" s="215"/>
      <c r="AV3" s="215"/>
      <c r="AW3" s="215"/>
      <c r="AX3" s="215"/>
      <c r="AY3" s="215"/>
      <c r="AZ3" s="215"/>
      <c r="BA3" s="215"/>
      <c r="BB3" s="215"/>
      <c r="BC3" s="215"/>
      <c r="BD3" s="215"/>
      <c r="BE3" s="215"/>
      <c r="BF3" s="215"/>
      <c r="BG3" s="215"/>
      <c r="BH3" s="215"/>
      <c r="BI3" s="215"/>
      <c r="BJ3" s="13"/>
    </row>
    <row r="4" spans="1:62" x14ac:dyDescent="0.15">
      <c r="A4" s="7">
        <v>3</v>
      </c>
      <c r="B4" s="198" t="s">
        <v>13</v>
      </c>
      <c r="C4" s="199"/>
      <c r="D4" s="199"/>
      <c r="E4" s="199"/>
      <c r="F4" s="199"/>
      <c r="G4" s="123" t="s">
        <v>42</v>
      </c>
      <c r="H4" s="123"/>
      <c r="I4" s="123"/>
      <c r="J4" s="123"/>
      <c r="K4" s="123"/>
      <c r="L4" s="123"/>
      <c r="M4" s="123"/>
      <c r="N4" s="123"/>
      <c r="O4" s="123"/>
      <c r="P4" s="123"/>
      <c r="Q4" s="123"/>
      <c r="R4" s="123"/>
      <c r="S4" s="123"/>
      <c r="T4" s="123"/>
      <c r="U4" s="123"/>
      <c r="V4" s="10"/>
      <c r="W4" s="11"/>
      <c r="X4" s="11"/>
      <c r="Y4" s="11"/>
      <c r="Z4" s="11"/>
      <c r="AA4" s="11"/>
      <c r="AB4" s="11"/>
      <c r="AC4" s="11"/>
      <c r="AD4" s="11"/>
      <c r="AE4" s="11"/>
      <c r="AF4" s="11"/>
      <c r="AG4" s="11"/>
      <c r="AH4" s="11"/>
      <c r="AI4" s="11"/>
      <c r="AJ4" s="11"/>
      <c r="AK4" s="11"/>
      <c r="AL4" s="12"/>
      <c r="AM4" s="9"/>
      <c r="AN4" s="216"/>
      <c r="AO4" s="216"/>
      <c r="AP4" s="216"/>
      <c r="AQ4" s="216"/>
      <c r="AR4" s="216"/>
      <c r="AS4" s="216"/>
      <c r="AT4" s="216"/>
      <c r="AU4" s="216"/>
      <c r="AV4" s="216"/>
      <c r="AW4" s="216"/>
      <c r="AX4" s="216"/>
      <c r="AY4" s="216"/>
      <c r="AZ4" s="216"/>
      <c r="BA4" s="216"/>
      <c r="BB4" s="216"/>
      <c r="BC4" s="216"/>
      <c r="BD4" s="216"/>
      <c r="BE4" s="216"/>
      <c r="BF4" s="216"/>
      <c r="BG4" s="216"/>
      <c r="BH4" s="216"/>
      <c r="BI4" s="216"/>
      <c r="BJ4" s="14"/>
    </row>
    <row r="5" spans="1:62" x14ac:dyDescent="0.15">
      <c r="A5" s="7">
        <v>4</v>
      </c>
      <c r="B5" s="198" t="s">
        <v>2</v>
      </c>
      <c r="C5" s="199"/>
      <c r="D5" s="199"/>
      <c r="E5" s="199"/>
      <c r="F5" s="199"/>
      <c r="G5" s="123" t="s">
        <v>43</v>
      </c>
      <c r="H5" s="123"/>
      <c r="I5" s="123"/>
      <c r="J5" s="123"/>
      <c r="K5" s="123"/>
      <c r="L5" s="123"/>
      <c r="M5" s="123"/>
      <c r="N5" s="123"/>
      <c r="O5" s="123"/>
      <c r="P5" s="123"/>
      <c r="Q5" s="123"/>
      <c r="R5" s="123"/>
      <c r="S5" s="123"/>
      <c r="T5" s="123"/>
      <c r="U5" s="123"/>
      <c r="V5" s="10"/>
      <c r="W5" s="11"/>
      <c r="X5" s="11"/>
      <c r="Y5" s="11"/>
      <c r="Z5" s="11"/>
      <c r="AA5" s="11"/>
      <c r="AB5" s="11"/>
      <c r="AC5" s="11"/>
      <c r="AD5" s="11"/>
      <c r="AE5" s="11"/>
      <c r="AF5" s="11"/>
      <c r="AG5" s="11"/>
      <c r="AH5" s="11"/>
      <c r="AI5" s="11"/>
      <c r="AJ5" s="11"/>
      <c r="AK5" s="11"/>
      <c r="AL5" s="12"/>
      <c r="AM5" s="9"/>
      <c r="AN5" s="2" t="s">
        <v>14</v>
      </c>
      <c r="AO5" s="2"/>
      <c r="AP5" s="2"/>
      <c r="AQ5" s="2"/>
      <c r="AR5" s="2"/>
      <c r="AS5" s="2"/>
      <c r="AT5" s="2"/>
      <c r="AU5" s="2"/>
      <c r="AV5" s="54"/>
      <c r="AW5" s="54"/>
      <c r="AX5" s="106">
        <v>0</v>
      </c>
      <c r="AY5" s="106"/>
      <c r="AZ5" s="106"/>
      <c r="BA5" s="106"/>
      <c r="BB5" s="106"/>
      <c r="BC5" s="106"/>
      <c r="BD5" s="106"/>
      <c r="BE5" s="106"/>
      <c r="BF5" s="106"/>
      <c r="BG5" s="106"/>
      <c r="BH5" s="106"/>
      <c r="BI5" s="106"/>
      <c r="BJ5" s="197"/>
    </row>
    <row r="6" spans="1:62" x14ac:dyDescent="0.15">
      <c r="A6" s="7">
        <v>5</v>
      </c>
      <c r="B6" s="198" t="s">
        <v>3</v>
      </c>
      <c r="C6" s="199"/>
      <c r="D6" s="199"/>
      <c r="E6" s="199"/>
      <c r="F6" s="199"/>
      <c r="G6" s="123" t="e">
        <f>#REF!</f>
        <v>#REF!</v>
      </c>
      <c r="H6" s="123"/>
      <c r="I6" s="123"/>
      <c r="J6" s="123"/>
      <c r="K6" s="123"/>
      <c r="L6" s="123"/>
      <c r="M6" s="123"/>
      <c r="N6" s="123"/>
      <c r="O6" s="123"/>
      <c r="P6" s="123"/>
      <c r="Q6" s="123"/>
      <c r="R6" s="123"/>
      <c r="S6" s="123"/>
      <c r="T6" s="123"/>
      <c r="U6" s="123"/>
      <c r="V6" s="10"/>
      <c r="W6" s="11"/>
      <c r="X6" s="11"/>
      <c r="Y6" s="11"/>
      <c r="Z6" s="11"/>
      <c r="AA6" s="11"/>
      <c r="AB6" s="11"/>
      <c r="AC6" s="11"/>
      <c r="AD6" s="11"/>
      <c r="AE6" s="11"/>
      <c r="AF6" s="11"/>
      <c r="AG6" s="11"/>
      <c r="AH6" s="11"/>
      <c r="AI6" s="11"/>
      <c r="AJ6" s="11"/>
      <c r="AK6" s="11"/>
      <c r="AL6" s="12"/>
      <c r="AM6" s="9"/>
      <c r="AN6" s="2" t="s">
        <v>15</v>
      </c>
      <c r="AO6" s="2"/>
      <c r="AP6" s="2"/>
      <c r="AQ6" s="2"/>
      <c r="AR6" s="2"/>
      <c r="AS6" s="2"/>
      <c r="AT6" s="2"/>
      <c r="AU6" s="2"/>
      <c r="AV6" s="2"/>
      <c r="AW6" s="2"/>
      <c r="AX6" s="106">
        <v>0</v>
      </c>
      <c r="AY6" s="106"/>
      <c r="AZ6" s="106"/>
      <c r="BA6" s="106"/>
      <c r="BB6" s="106"/>
      <c r="BC6" s="106"/>
      <c r="BD6" s="106"/>
      <c r="BE6" s="106"/>
      <c r="BF6" s="106"/>
      <c r="BG6" s="106"/>
      <c r="BH6" s="106"/>
      <c r="BI6" s="106"/>
      <c r="BJ6" s="197"/>
    </row>
    <row r="7" spans="1:62" x14ac:dyDescent="0.15">
      <c r="A7" s="7">
        <v>6</v>
      </c>
      <c r="B7" s="16" t="s">
        <v>16</v>
      </c>
      <c r="C7" s="17"/>
      <c r="D7" s="17"/>
      <c r="E7" s="17"/>
      <c r="F7" s="17"/>
      <c r="G7" s="17"/>
      <c r="H7" s="17"/>
      <c r="I7" s="17"/>
      <c r="J7" s="17"/>
      <c r="K7" s="17"/>
      <c r="L7" s="17"/>
      <c r="M7" s="17"/>
      <c r="N7" s="17"/>
      <c r="O7" s="17"/>
      <c r="P7" s="17"/>
      <c r="Q7" s="17"/>
      <c r="R7" s="17"/>
      <c r="S7" s="17"/>
      <c r="T7" s="17"/>
      <c r="U7" s="17"/>
      <c r="V7" s="18"/>
      <c r="W7" s="17"/>
      <c r="X7" s="17"/>
      <c r="Y7" s="19"/>
      <c r="Z7" s="19"/>
      <c r="AA7" s="19"/>
      <c r="AB7" s="17"/>
      <c r="AC7" s="17"/>
      <c r="AD7" s="17"/>
      <c r="AE7" s="17"/>
      <c r="AF7" s="17"/>
      <c r="AG7" s="17"/>
      <c r="AH7" s="17"/>
      <c r="AI7" s="17"/>
      <c r="AJ7" s="17"/>
      <c r="AK7" s="17"/>
      <c r="AL7" s="18"/>
      <c r="AM7" s="1"/>
      <c r="AN7" s="1" t="s">
        <v>18</v>
      </c>
      <c r="AO7" s="1"/>
      <c r="AP7" s="1"/>
      <c r="AQ7" s="1"/>
      <c r="AR7" s="1"/>
      <c r="AS7" s="1"/>
      <c r="AT7" s="55"/>
      <c r="AU7" s="55"/>
      <c r="AV7" s="55"/>
      <c r="AW7" s="55"/>
      <c r="AX7" s="107">
        <v>10</v>
      </c>
      <c r="AY7" s="107"/>
      <c r="AZ7" s="107"/>
      <c r="BA7" s="107"/>
      <c r="BB7" s="107"/>
      <c r="BC7" s="107"/>
      <c r="BD7" s="107"/>
      <c r="BE7" s="107"/>
      <c r="BF7" s="107"/>
      <c r="BG7" s="107"/>
      <c r="BH7" s="107"/>
      <c r="BI7" s="107"/>
      <c r="BJ7" s="200"/>
    </row>
    <row r="8" spans="1:62" ht="14" x14ac:dyDescent="0.15">
      <c r="A8" s="7">
        <v>7</v>
      </c>
      <c r="B8" s="21"/>
      <c r="C8" s="228"/>
      <c r="D8" s="229"/>
      <c r="E8" s="229"/>
      <c r="F8" s="230"/>
      <c r="G8" s="81"/>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40"/>
      <c r="BA8" s="231" t="s">
        <v>155</v>
      </c>
      <c r="BB8" s="231"/>
      <c r="BC8" s="231"/>
      <c r="BD8" s="231"/>
      <c r="BE8" s="231"/>
      <c r="BF8" s="231" t="s">
        <v>58</v>
      </c>
      <c r="BG8" s="231"/>
      <c r="BH8" s="231"/>
      <c r="BI8" s="231"/>
      <c r="BJ8" s="231"/>
    </row>
    <row r="9" spans="1:62" x14ac:dyDescent="0.15">
      <c r="A9" s="7">
        <v>8</v>
      </c>
      <c r="B9" s="23"/>
      <c r="C9" s="145"/>
      <c r="D9" s="146"/>
      <c r="E9" s="146"/>
      <c r="F9" s="157"/>
      <c r="G9" s="80" t="s">
        <v>156</v>
      </c>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2"/>
      <c r="BA9" s="231"/>
      <c r="BB9" s="231"/>
      <c r="BC9" s="231"/>
      <c r="BD9" s="231"/>
      <c r="BE9" s="231"/>
      <c r="BF9" s="231"/>
      <c r="BG9" s="231"/>
      <c r="BH9" s="231"/>
      <c r="BI9" s="231"/>
      <c r="BJ9" s="231"/>
    </row>
    <row r="10" spans="1:62" x14ac:dyDescent="0.15">
      <c r="A10" s="7">
        <v>9</v>
      </c>
      <c r="B10" s="23"/>
      <c r="C10" s="145"/>
      <c r="D10" s="146"/>
      <c r="E10" s="146"/>
      <c r="F10" s="157"/>
      <c r="G10" s="82" t="s">
        <v>92</v>
      </c>
      <c r="H10" s="66"/>
      <c r="I10" s="66"/>
      <c r="J10" s="66"/>
      <c r="K10" s="66"/>
      <c r="L10" s="66"/>
      <c r="M10" s="50"/>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2"/>
      <c r="BA10" s="225">
        <v>170</v>
      </c>
      <c r="BB10" s="226"/>
      <c r="BC10" s="226"/>
      <c r="BD10" s="226"/>
      <c r="BE10" s="227"/>
      <c r="BF10" s="123" t="s">
        <v>79</v>
      </c>
      <c r="BG10" s="123"/>
      <c r="BH10" s="123"/>
      <c r="BI10" s="123"/>
      <c r="BJ10" s="124"/>
    </row>
    <row r="11" spans="1:62" x14ac:dyDescent="0.15">
      <c r="A11" s="7">
        <v>10</v>
      </c>
      <c r="B11" s="23"/>
      <c r="C11" s="145"/>
      <c r="D11" s="146"/>
      <c r="E11" s="146"/>
      <c r="F11" s="157"/>
      <c r="G11" s="82" t="s">
        <v>80</v>
      </c>
      <c r="H11" s="66"/>
      <c r="I11" s="66"/>
      <c r="J11" s="66"/>
      <c r="K11" s="66"/>
      <c r="L11" s="66"/>
      <c r="M11" s="50"/>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2"/>
      <c r="BA11" s="122">
        <v>6</v>
      </c>
      <c r="BB11" s="123"/>
      <c r="BC11" s="123"/>
      <c r="BD11" s="123"/>
      <c r="BE11" s="124"/>
      <c r="BF11" s="123" t="s">
        <v>75</v>
      </c>
      <c r="BG11" s="123"/>
      <c r="BH11" s="123"/>
      <c r="BI11" s="123"/>
      <c r="BJ11" s="124"/>
    </row>
    <row r="12" spans="1:62" x14ac:dyDescent="0.15">
      <c r="A12" s="7">
        <v>11</v>
      </c>
      <c r="B12" s="23"/>
      <c r="C12" s="145"/>
      <c r="D12" s="146"/>
      <c r="E12" s="146"/>
      <c r="F12" s="157"/>
      <c r="G12" s="82" t="s">
        <v>93</v>
      </c>
      <c r="H12" s="66"/>
      <c r="I12" s="66"/>
      <c r="J12" s="66"/>
      <c r="K12" s="66"/>
      <c r="L12" s="66"/>
      <c r="M12" s="50"/>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2"/>
      <c r="BA12" s="122">
        <f ca="1">BA10*BA19/BA11</f>
        <v>61.60538121493633</v>
      </c>
      <c r="BB12" s="123"/>
      <c r="BC12" s="123"/>
      <c r="BD12" s="123"/>
      <c r="BE12" s="124"/>
      <c r="BF12" s="123" t="s">
        <v>82</v>
      </c>
      <c r="BG12" s="123"/>
      <c r="BH12" s="123"/>
      <c r="BI12" s="123"/>
      <c r="BJ12" s="124"/>
    </row>
    <row r="13" spans="1:62" x14ac:dyDescent="0.15">
      <c r="A13" s="7">
        <v>12</v>
      </c>
      <c r="B13" s="23"/>
      <c r="C13" s="145"/>
      <c r="D13" s="146"/>
      <c r="E13" s="146"/>
      <c r="F13" s="157"/>
      <c r="G13" s="82" t="s">
        <v>96</v>
      </c>
      <c r="H13" s="66"/>
      <c r="I13" s="66"/>
      <c r="J13" s="66"/>
      <c r="K13" s="66"/>
      <c r="L13" s="66"/>
      <c r="M13" s="50"/>
      <c r="N13" s="41"/>
      <c r="O13" s="41"/>
      <c r="P13" s="41"/>
      <c r="Q13" s="41"/>
      <c r="R13" s="41"/>
      <c r="S13" s="41"/>
      <c r="T13" s="41"/>
      <c r="U13" s="41"/>
      <c r="V13" s="41"/>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1"/>
      <c r="AV13" s="41"/>
      <c r="AW13" s="41"/>
      <c r="AX13" s="41"/>
      <c r="AY13" s="41"/>
      <c r="AZ13" s="42"/>
      <c r="BA13" s="122">
        <v>0.5</v>
      </c>
      <c r="BB13" s="123"/>
      <c r="BC13" s="123"/>
      <c r="BD13" s="123"/>
      <c r="BE13" s="124"/>
      <c r="BF13" s="221" t="s">
        <v>69</v>
      </c>
      <c r="BG13" s="221"/>
      <c r="BH13" s="221"/>
      <c r="BI13" s="221"/>
      <c r="BJ13" s="222"/>
    </row>
    <row r="14" spans="1:62" x14ac:dyDescent="0.15">
      <c r="A14" s="7">
        <v>13</v>
      </c>
      <c r="B14" s="23"/>
      <c r="C14" s="145"/>
      <c r="D14" s="146"/>
      <c r="E14" s="146"/>
      <c r="F14" s="157"/>
      <c r="G14" s="82" t="s">
        <v>94</v>
      </c>
      <c r="H14" s="66"/>
      <c r="I14" s="66"/>
      <c r="J14" s="66"/>
      <c r="K14" s="66"/>
      <c r="L14" s="66"/>
      <c r="M14" s="50"/>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2"/>
      <c r="BA14" s="122">
        <v>1</v>
      </c>
      <c r="BB14" s="123"/>
      <c r="BC14" s="123"/>
      <c r="BD14" s="123"/>
      <c r="BE14" s="124"/>
      <c r="BF14" s="123" t="s">
        <v>95</v>
      </c>
      <c r="BG14" s="123"/>
      <c r="BH14" s="123"/>
      <c r="BI14" s="123"/>
      <c r="BJ14" s="124"/>
    </row>
    <row r="15" spans="1:62" x14ac:dyDescent="0.15">
      <c r="A15" s="7">
        <v>14</v>
      </c>
      <c r="B15" s="23"/>
      <c r="C15" s="145"/>
      <c r="D15" s="146"/>
      <c r="E15" s="146"/>
      <c r="F15" s="157"/>
      <c r="G15" s="82" t="s">
        <v>103</v>
      </c>
      <c r="H15" s="66"/>
      <c r="I15" s="66"/>
      <c r="J15" s="66"/>
      <c r="K15" s="66"/>
      <c r="L15" s="66"/>
      <c r="M15" s="50"/>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2"/>
      <c r="BA15" s="122">
        <f>(BA14*PI()*(BA13)^2 /4)*60*60</f>
        <v>706.85834705770344</v>
      </c>
      <c r="BB15" s="123"/>
      <c r="BC15" s="123"/>
      <c r="BD15" s="123"/>
      <c r="BE15" s="124"/>
      <c r="BF15" s="123" t="s">
        <v>79</v>
      </c>
      <c r="BG15" s="123"/>
      <c r="BH15" s="123"/>
      <c r="BI15" s="123"/>
      <c r="BJ15" s="124"/>
    </row>
    <row r="16" spans="1:62" x14ac:dyDescent="0.15">
      <c r="A16" s="7">
        <v>15</v>
      </c>
      <c r="B16" s="23"/>
      <c r="C16" s="145"/>
      <c r="D16" s="146"/>
      <c r="E16" s="146"/>
      <c r="F16" s="157"/>
      <c r="G16" s="82" t="s">
        <v>100</v>
      </c>
      <c r="H16" s="66"/>
      <c r="I16" s="66"/>
      <c r="J16" s="66"/>
      <c r="K16" s="66"/>
      <c r="L16" s="66"/>
      <c r="M16" s="50"/>
      <c r="N16" s="41"/>
      <c r="O16" s="41"/>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2"/>
      <c r="BA16" s="122">
        <f ca="1">BA12/BA15</f>
        <v>8.7153786145935205E-2</v>
      </c>
      <c r="BB16" s="123"/>
      <c r="BC16" s="123"/>
      <c r="BD16" s="123"/>
      <c r="BE16" s="124"/>
      <c r="BF16" s="123" t="s">
        <v>81</v>
      </c>
      <c r="BG16" s="123"/>
      <c r="BH16" s="123"/>
      <c r="BI16" s="123"/>
      <c r="BJ16" s="124"/>
    </row>
    <row r="17" spans="1:62" x14ac:dyDescent="0.15">
      <c r="A17" s="7">
        <v>16</v>
      </c>
      <c r="B17" s="23"/>
      <c r="C17" s="145"/>
      <c r="D17" s="146"/>
      <c r="E17" s="146"/>
      <c r="F17" s="157"/>
      <c r="G17" s="82" t="s">
        <v>97</v>
      </c>
      <c r="H17" s="66"/>
      <c r="I17" s="66"/>
      <c r="J17" s="66"/>
      <c r="K17" s="66"/>
      <c r="L17" s="66"/>
      <c r="M17" s="50"/>
      <c r="N17" s="41"/>
      <c r="O17" s="41"/>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2"/>
      <c r="BA17" s="122">
        <v>1.5</v>
      </c>
      <c r="BB17" s="123"/>
      <c r="BC17" s="123"/>
      <c r="BD17" s="123"/>
      <c r="BE17" s="124"/>
      <c r="BF17" s="123" t="s">
        <v>81</v>
      </c>
      <c r="BG17" s="123"/>
      <c r="BH17" s="123"/>
      <c r="BI17" s="123"/>
      <c r="BJ17" s="124"/>
    </row>
    <row r="18" spans="1:62" x14ac:dyDescent="0.15">
      <c r="A18" s="7">
        <v>17</v>
      </c>
      <c r="B18" s="23"/>
      <c r="C18" s="145"/>
      <c r="D18" s="146"/>
      <c r="E18" s="146"/>
      <c r="F18" s="157"/>
      <c r="G18" s="82" t="s">
        <v>98</v>
      </c>
      <c r="H18" s="66"/>
      <c r="I18" s="66"/>
      <c r="J18" s="66"/>
      <c r="K18" s="66"/>
      <c r="L18" s="66"/>
      <c r="M18" s="50"/>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2"/>
      <c r="BA18" s="122">
        <v>0.5</v>
      </c>
      <c r="BB18" s="123"/>
      <c r="BC18" s="123"/>
      <c r="BD18" s="123"/>
      <c r="BE18" s="124"/>
      <c r="BF18" s="123" t="s">
        <v>81</v>
      </c>
      <c r="BG18" s="123"/>
      <c r="BH18" s="123"/>
      <c r="BI18" s="123"/>
      <c r="BJ18" s="124"/>
    </row>
    <row r="19" spans="1:62" x14ac:dyDescent="0.15">
      <c r="A19" s="7">
        <v>18</v>
      </c>
      <c r="B19" s="23"/>
      <c r="C19" s="145"/>
      <c r="D19" s="146"/>
      <c r="E19" s="146"/>
      <c r="F19" s="157"/>
      <c r="G19" s="82" t="s">
        <v>99</v>
      </c>
      <c r="H19" s="66"/>
      <c r="I19" s="66"/>
      <c r="J19" s="66"/>
      <c r="K19" s="66"/>
      <c r="L19" s="66"/>
      <c r="M19" s="50"/>
      <c r="N19" s="41"/>
      <c r="O19" s="41"/>
      <c r="P19" s="41"/>
      <c r="Q19" s="41"/>
      <c r="R19" s="41"/>
      <c r="S19" s="41"/>
      <c r="T19" s="41"/>
      <c r="U19" s="41"/>
      <c r="V19" s="41"/>
      <c r="W19" s="41"/>
      <c r="X19" s="41"/>
      <c r="Y19" s="41"/>
      <c r="Z19" s="41"/>
      <c r="AA19" s="41"/>
      <c r="AB19" s="41"/>
      <c r="AC19" s="41"/>
      <c r="AD19" s="41"/>
      <c r="AE19" s="41"/>
      <c r="AF19" s="41"/>
      <c r="AG19" s="41"/>
      <c r="AH19" s="41"/>
      <c r="AI19" s="41"/>
      <c r="AJ19" s="41"/>
      <c r="AK19" s="41"/>
      <c r="AL19" s="41"/>
      <c r="AM19" s="41"/>
      <c r="AN19" s="41"/>
      <c r="AO19" s="41"/>
      <c r="AP19" s="41"/>
      <c r="AQ19" s="41"/>
      <c r="AR19" s="41"/>
      <c r="AS19" s="41"/>
      <c r="AT19" s="41"/>
      <c r="AU19" s="41"/>
      <c r="AV19" s="41"/>
      <c r="AW19" s="41"/>
      <c r="AX19" s="41"/>
      <c r="AY19" s="41"/>
      <c r="AZ19" s="42"/>
      <c r="BA19" s="122">
        <f ca="1">2*BA16+BA17+BA18</f>
        <v>2.1743075722918705</v>
      </c>
      <c r="BB19" s="123"/>
      <c r="BC19" s="123"/>
      <c r="BD19" s="123"/>
      <c r="BE19" s="124"/>
      <c r="BF19" s="123" t="s">
        <v>81</v>
      </c>
      <c r="BG19" s="123"/>
      <c r="BH19" s="123"/>
      <c r="BI19" s="123"/>
      <c r="BJ19" s="124"/>
    </row>
    <row r="20" spans="1:62" x14ac:dyDescent="0.15">
      <c r="A20" s="7">
        <v>19</v>
      </c>
      <c r="B20" s="23"/>
      <c r="C20" s="145"/>
      <c r="D20" s="146"/>
      <c r="E20" s="146"/>
      <c r="F20" s="157"/>
      <c r="G20" s="82" t="s">
        <v>101</v>
      </c>
      <c r="H20" s="66"/>
      <c r="I20" s="66"/>
      <c r="J20" s="66"/>
      <c r="K20" s="66"/>
      <c r="L20" s="66"/>
      <c r="M20" s="50"/>
      <c r="N20" s="41"/>
      <c r="O20" s="41"/>
      <c r="P20" s="41"/>
      <c r="Q20" s="41"/>
      <c r="R20" s="41"/>
      <c r="S20" s="41"/>
      <c r="T20" s="41"/>
      <c r="U20" s="41"/>
      <c r="V20" s="41"/>
      <c r="W20" s="41"/>
      <c r="X20" s="41"/>
      <c r="Y20" s="41"/>
      <c r="Z20" s="41"/>
      <c r="AA20" s="41"/>
      <c r="AB20" s="41"/>
      <c r="AC20" s="41"/>
      <c r="AD20" s="41"/>
      <c r="AE20" s="41"/>
      <c r="AF20" s="41"/>
      <c r="AG20" s="41"/>
      <c r="AH20" s="41"/>
      <c r="AI20" s="41"/>
      <c r="AJ20" s="41"/>
      <c r="AK20" s="41"/>
      <c r="AL20" s="41"/>
      <c r="AM20" s="41"/>
      <c r="AN20" s="41"/>
      <c r="AO20" s="41"/>
      <c r="AP20" s="41"/>
      <c r="AQ20" s="41"/>
      <c r="AR20" s="41"/>
      <c r="AS20" s="41"/>
      <c r="AT20" s="41"/>
      <c r="AU20" s="41"/>
      <c r="AV20" s="41"/>
      <c r="AW20" s="41"/>
      <c r="AX20" s="41"/>
      <c r="AY20" s="41"/>
      <c r="AZ20" s="42"/>
      <c r="BA20" s="122">
        <f ca="1">BA12/BA19</f>
        <v>28.333333333333332</v>
      </c>
      <c r="BB20" s="123"/>
      <c r="BC20" s="123"/>
      <c r="BD20" s="123"/>
      <c r="BE20" s="124"/>
      <c r="BF20" s="123" t="s">
        <v>79</v>
      </c>
      <c r="BG20" s="123"/>
      <c r="BH20" s="123"/>
      <c r="BI20" s="123"/>
      <c r="BJ20" s="124"/>
    </row>
    <row r="21" spans="1:62" x14ac:dyDescent="0.15">
      <c r="A21" s="7">
        <v>20</v>
      </c>
      <c r="B21" s="23"/>
      <c r="C21" s="145"/>
      <c r="D21" s="146"/>
      <c r="E21" s="146"/>
      <c r="F21" s="157"/>
      <c r="G21" s="82" t="s">
        <v>102</v>
      </c>
      <c r="H21" s="66"/>
      <c r="I21" s="66"/>
      <c r="J21" s="66"/>
      <c r="K21" s="66"/>
      <c r="L21" s="66"/>
      <c r="M21" s="50"/>
      <c r="N21" s="41"/>
      <c r="O21" s="41"/>
      <c r="P21" s="41"/>
      <c r="Q21" s="4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41"/>
      <c r="AQ21" s="41"/>
      <c r="AR21" s="41"/>
      <c r="AS21" s="41"/>
      <c r="AT21" s="41"/>
      <c r="AU21" s="41"/>
      <c r="AV21" s="41"/>
      <c r="AW21" s="41"/>
      <c r="AX21" s="41"/>
      <c r="AY21" s="41"/>
      <c r="AZ21" s="42"/>
      <c r="BA21" s="140">
        <f ca="1">BA20*BA11</f>
        <v>170</v>
      </c>
      <c r="BB21" s="123"/>
      <c r="BC21" s="123"/>
      <c r="BD21" s="123"/>
      <c r="BE21" s="124"/>
      <c r="BF21" s="123" t="s">
        <v>79</v>
      </c>
      <c r="BG21" s="123"/>
      <c r="BH21" s="123"/>
      <c r="BI21" s="123"/>
      <c r="BJ21" s="124"/>
    </row>
    <row r="22" spans="1:62" x14ac:dyDescent="0.15">
      <c r="A22" s="7">
        <v>21</v>
      </c>
      <c r="B22" s="23"/>
      <c r="C22" s="145"/>
      <c r="D22" s="146"/>
      <c r="E22" s="146"/>
      <c r="F22" s="157"/>
      <c r="G22" s="23" t="s">
        <v>157</v>
      </c>
      <c r="H22" s="66"/>
      <c r="I22" s="66"/>
      <c r="J22" s="66"/>
      <c r="K22" s="66"/>
      <c r="L22" s="66"/>
      <c r="M22" s="50"/>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2"/>
      <c r="BA22" s="122">
        <f ca="1">(2*BA16)/BA19 *100</f>
        <v>8.0166934298139889</v>
      </c>
      <c r="BB22" s="123"/>
      <c r="BC22" s="123"/>
      <c r="BD22" s="123"/>
      <c r="BE22" s="124"/>
      <c r="BF22" s="123" t="s">
        <v>56</v>
      </c>
      <c r="BG22" s="123"/>
      <c r="BH22" s="123"/>
      <c r="BI22" s="123"/>
      <c r="BJ22" s="124"/>
    </row>
    <row r="23" spans="1:62" x14ac:dyDescent="0.15">
      <c r="A23" s="7">
        <v>22</v>
      </c>
      <c r="B23" s="23"/>
      <c r="C23" s="145"/>
      <c r="D23" s="146"/>
      <c r="E23" s="146"/>
      <c r="F23" s="157"/>
      <c r="G23" s="82"/>
      <c r="H23" s="66"/>
      <c r="I23" s="66"/>
      <c r="J23" s="66"/>
      <c r="K23" s="66"/>
      <c r="L23" s="66"/>
      <c r="M23" s="50"/>
      <c r="N23" s="41"/>
      <c r="O23" s="41"/>
      <c r="P23" s="41"/>
      <c r="Q23" s="41"/>
      <c r="R23" s="41"/>
      <c r="S23" s="41"/>
      <c r="T23" s="41"/>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2"/>
      <c r="BA23" s="122"/>
      <c r="BB23" s="123"/>
      <c r="BC23" s="123"/>
      <c r="BD23" s="123"/>
      <c r="BE23" s="124"/>
      <c r="BF23" s="123"/>
      <c r="BG23" s="123"/>
      <c r="BH23" s="123"/>
      <c r="BI23" s="123"/>
      <c r="BJ23" s="124"/>
    </row>
    <row r="24" spans="1:62" x14ac:dyDescent="0.15">
      <c r="A24" s="7">
        <v>23</v>
      </c>
      <c r="B24" s="23"/>
      <c r="C24" s="145"/>
      <c r="D24" s="146"/>
      <c r="E24" s="146"/>
      <c r="F24" s="157"/>
      <c r="G24" s="83" t="s">
        <v>104</v>
      </c>
      <c r="H24" s="66"/>
      <c r="I24" s="66"/>
      <c r="J24" s="66"/>
      <c r="K24" s="66"/>
      <c r="L24" s="66"/>
      <c r="M24" s="66"/>
      <c r="N24" s="41"/>
      <c r="O24" s="41"/>
      <c r="P24" s="41"/>
      <c r="Q24" s="41"/>
      <c r="R24" s="41"/>
      <c r="S24" s="41"/>
      <c r="T24" s="41"/>
      <c r="U24" s="41"/>
      <c r="V24" s="41"/>
      <c r="W24" s="41"/>
      <c r="X24" s="41"/>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2"/>
      <c r="BA24" s="122"/>
      <c r="BB24" s="123"/>
      <c r="BC24" s="123"/>
      <c r="BD24" s="123"/>
      <c r="BE24" s="124"/>
      <c r="BF24" s="123"/>
      <c r="BG24" s="123"/>
      <c r="BH24" s="123"/>
      <c r="BI24" s="123"/>
      <c r="BJ24" s="124"/>
    </row>
    <row r="25" spans="1:62" x14ac:dyDescent="0.15">
      <c r="A25" s="7">
        <v>24</v>
      </c>
      <c r="B25" s="23"/>
      <c r="C25" s="145"/>
      <c r="D25" s="146"/>
      <c r="E25" s="146"/>
      <c r="F25" s="157"/>
      <c r="G25" s="82" t="s">
        <v>92</v>
      </c>
      <c r="H25" s="66"/>
      <c r="I25" s="66"/>
      <c r="J25" s="66"/>
      <c r="K25" s="66"/>
      <c r="L25" s="66"/>
      <c r="M25" s="50"/>
      <c r="N25" s="41"/>
      <c r="O25" s="41"/>
      <c r="P25" s="41"/>
      <c r="Q25" s="41"/>
      <c r="R25" s="41"/>
      <c r="S25" s="41"/>
      <c r="T25" s="41"/>
      <c r="U25" s="41"/>
      <c r="V25" s="41"/>
      <c r="W25" s="41"/>
      <c r="X25" s="41"/>
      <c r="Y25" s="41"/>
      <c r="Z25" s="41"/>
      <c r="AA25" s="41"/>
      <c r="AB25" s="41"/>
      <c r="AC25" s="41"/>
      <c r="AD25" s="41"/>
      <c r="AE25" s="41"/>
      <c r="AF25" s="41"/>
      <c r="AG25" s="41"/>
      <c r="AH25" s="41"/>
      <c r="AI25" s="41"/>
      <c r="AJ25" s="41"/>
      <c r="AK25" s="41"/>
      <c r="AL25" s="41"/>
      <c r="AM25" s="41"/>
      <c r="AN25" s="41"/>
      <c r="AO25" s="41"/>
      <c r="AP25" s="41"/>
      <c r="AQ25" s="41"/>
      <c r="AR25" s="41"/>
      <c r="AS25" s="41"/>
      <c r="AT25" s="41"/>
      <c r="AU25" s="41"/>
      <c r="AV25" s="44"/>
      <c r="AW25" s="41"/>
      <c r="AX25" s="41"/>
      <c r="AY25" s="41"/>
      <c r="AZ25" s="42"/>
      <c r="BA25" s="140">
        <v>170</v>
      </c>
      <c r="BB25" s="141"/>
      <c r="BC25" s="141"/>
      <c r="BD25" s="141"/>
      <c r="BE25" s="162"/>
      <c r="BF25" s="123" t="s">
        <v>79</v>
      </c>
      <c r="BG25" s="123"/>
      <c r="BH25" s="123"/>
      <c r="BI25" s="123"/>
      <c r="BJ25" s="124"/>
    </row>
    <row r="26" spans="1:62" x14ac:dyDescent="0.15">
      <c r="A26" s="7">
        <v>25</v>
      </c>
      <c r="B26" s="23"/>
      <c r="C26" s="47"/>
      <c r="D26" s="48"/>
      <c r="E26" s="48"/>
      <c r="F26" s="49"/>
      <c r="G26" s="82" t="s">
        <v>80</v>
      </c>
      <c r="H26" s="66"/>
      <c r="I26" s="66"/>
      <c r="J26" s="66"/>
      <c r="K26" s="66"/>
      <c r="L26" s="66"/>
      <c r="M26" s="50"/>
      <c r="N26" s="41"/>
      <c r="O26" s="41"/>
      <c r="P26" s="41"/>
      <c r="Q26" s="41"/>
      <c r="R26" s="41"/>
      <c r="S26" s="41"/>
      <c r="T26" s="41"/>
      <c r="U26" s="41"/>
      <c r="V26" s="41"/>
      <c r="W26" s="41"/>
      <c r="X26" s="41"/>
      <c r="Y26" s="41"/>
      <c r="Z26" s="41"/>
      <c r="AA26" s="41"/>
      <c r="AB26" s="41"/>
      <c r="AC26" s="41"/>
      <c r="AD26" s="41"/>
      <c r="AE26" s="41"/>
      <c r="AF26" s="41"/>
      <c r="AG26" s="41"/>
      <c r="AH26" s="41"/>
      <c r="AI26" s="41"/>
      <c r="AJ26" s="41"/>
      <c r="AK26" s="41"/>
      <c r="AL26" s="41"/>
      <c r="AM26" s="41"/>
      <c r="AN26" s="41"/>
      <c r="AO26" s="41"/>
      <c r="AP26" s="41"/>
      <c r="AQ26" s="41"/>
      <c r="AR26" s="41"/>
      <c r="AS26" s="41"/>
      <c r="AT26" s="41"/>
      <c r="AU26" s="41"/>
      <c r="AV26" s="44"/>
      <c r="AW26" s="41"/>
      <c r="AX26" s="41"/>
      <c r="AY26" s="41"/>
      <c r="AZ26" s="42"/>
      <c r="BA26" s="122">
        <v>5</v>
      </c>
      <c r="BB26" s="123"/>
      <c r="BC26" s="123"/>
      <c r="BD26" s="123"/>
      <c r="BE26" s="124"/>
      <c r="BF26" s="123" t="s">
        <v>75</v>
      </c>
      <c r="BG26" s="123"/>
      <c r="BH26" s="123"/>
      <c r="BI26" s="123"/>
      <c r="BJ26" s="124"/>
    </row>
    <row r="27" spans="1:62" x14ac:dyDescent="0.15">
      <c r="A27" s="7">
        <v>26</v>
      </c>
      <c r="B27" s="23"/>
      <c r="C27" s="47"/>
      <c r="D27" s="48"/>
      <c r="E27" s="48"/>
      <c r="F27" s="49"/>
      <c r="G27" s="82" t="s">
        <v>93</v>
      </c>
      <c r="H27" s="66"/>
      <c r="I27" s="66"/>
      <c r="J27" s="66"/>
      <c r="K27" s="66"/>
      <c r="L27" s="66"/>
      <c r="M27" s="50"/>
      <c r="N27" s="41"/>
      <c r="O27" s="41"/>
      <c r="P27" s="41"/>
      <c r="Q27" s="41"/>
      <c r="R27" s="41"/>
      <c r="S27" s="41"/>
      <c r="T27" s="41"/>
      <c r="U27" s="41"/>
      <c r="V27" s="41"/>
      <c r="W27" s="41"/>
      <c r="X27" s="41"/>
      <c r="Y27" s="41"/>
      <c r="Z27" s="41"/>
      <c r="AA27" s="41"/>
      <c r="AB27" s="41"/>
      <c r="AC27" s="41"/>
      <c r="AD27" s="41"/>
      <c r="AE27" s="41"/>
      <c r="AF27" s="41"/>
      <c r="AG27" s="41"/>
      <c r="AH27" s="41"/>
      <c r="AI27" s="41"/>
      <c r="AJ27" s="41"/>
      <c r="AK27" s="41"/>
      <c r="AL27" s="41"/>
      <c r="AM27" s="41"/>
      <c r="AN27" s="41"/>
      <c r="AO27" s="41"/>
      <c r="AP27" s="41"/>
      <c r="AQ27" s="41"/>
      <c r="AR27" s="41"/>
      <c r="AS27" s="41"/>
      <c r="AT27" s="41"/>
      <c r="AU27" s="41"/>
      <c r="AV27" s="44"/>
      <c r="AW27" s="41"/>
      <c r="AX27" s="41"/>
      <c r="AY27" s="41"/>
      <c r="AZ27" s="42"/>
      <c r="BA27" s="122">
        <f ca="1">BA25*BA34/BA26</f>
        <v>1880.9477805720187</v>
      </c>
      <c r="BB27" s="123"/>
      <c r="BC27" s="123"/>
      <c r="BD27" s="123"/>
      <c r="BE27" s="124"/>
      <c r="BF27" s="123" t="s">
        <v>82</v>
      </c>
      <c r="BG27" s="123"/>
      <c r="BH27" s="123"/>
      <c r="BI27" s="123"/>
      <c r="BJ27" s="124"/>
    </row>
    <row r="28" spans="1:62" x14ac:dyDescent="0.15">
      <c r="A28" s="7">
        <v>27</v>
      </c>
      <c r="B28" s="23"/>
      <c r="C28" s="47"/>
      <c r="D28" s="48"/>
      <c r="E28" s="48"/>
      <c r="F28" s="49"/>
      <c r="G28" s="82" t="s">
        <v>96</v>
      </c>
      <c r="H28" s="66"/>
      <c r="I28" s="66"/>
      <c r="J28" s="66"/>
      <c r="K28" s="66"/>
      <c r="L28" s="66"/>
      <c r="M28" s="50"/>
      <c r="N28" s="41"/>
      <c r="O28" s="41"/>
      <c r="P28" s="41"/>
      <c r="Q28" s="41"/>
      <c r="R28" s="41"/>
      <c r="S28" s="41"/>
      <c r="T28" s="41"/>
      <c r="U28" s="41"/>
      <c r="V28" s="41"/>
      <c r="W28" s="41"/>
      <c r="X28" s="41"/>
      <c r="Y28" s="41"/>
      <c r="Z28" s="41"/>
      <c r="AA28" s="41"/>
      <c r="AB28" s="41"/>
      <c r="AC28" s="41"/>
      <c r="AD28" s="41"/>
      <c r="AE28" s="41"/>
      <c r="AF28" s="41"/>
      <c r="AG28" s="41"/>
      <c r="AH28" s="41"/>
      <c r="AI28" s="41"/>
      <c r="AJ28" s="41"/>
      <c r="AK28" s="41"/>
      <c r="AL28" s="41"/>
      <c r="AM28" s="41"/>
      <c r="AN28" s="41"/>
      <c r="AO28" s="41"/>
      <c r="AP28" s="41"/>
      <c r="AQ28" s="41"/>
      <c r="AR28" s="41"/>
      <c r="AS28" s="41"/>
      <c r="AT28" s="41"/>
      <c r="AU28" s="41"/>
      <c r="AV28" s="44"/>
      <c r="AW28" s="41"/>
      <c r="AX28" s="41"/>
      <c r="AY28" s="41"/>
      <c r="AZ28" s="42"/>
      <c r="BA28" s="122">
        <v>0.5</v>
      </c>
      <c r="BB28" s="123"/>
      <c r="BC28" s="123"/>
      <c r="BD28" s="123"/>
      <c r="BE28" s="124"/>
      <c r="BF28" s="221" t="s">
        <v>69</v>
      </c>
      <c r="BG28" s="221"/>
      <c r="BH28" s="221"/>
      <c r="BI28" s="221"/>
      <c r="BJ28" s="222"/>
    </row>
    <row r="29" spans="1:62" x14ac:dyDescent="0.15">
      <c r="A29" s="7">
        <v>28</v>
      </c>
      <c r="B29" s="23"/>
      <c r="C29" s="47"/>
      <c r="D29" s="48"/>
      <c r="E29" s="48"/>
      <c r="F29" s="49"/>
      <c r="G29" s="82" t="s">
        <v>94</v>
      </c>
      <c r="H29" s="66"/>
      <c r="I29" s="66"/>
      <c r="J29" s="66"/>
      <c r="K29" s="66"/>
      <c r="L29" s="66"/>
      <c r="M29" s="50"/>
      <c r="N29" s="41"/>
      <c r="O29" s="41"/>
      <c r="P29" s="41"/>
      <c r="Q29" s="41"/>
      <c r="R29" s="41"/>
      <c r="S29" s="41"/>
      <c r="T29" s="41"/>
      <c r="U29" s="41"/>
      <c r="V29" s="41"/>
      <c r="W29" s="41"/>
      <c r="X29" s="41"/>
      <c r="Y29" s="41"/>
      <c r="Z29" s="41"/>
      <c r="AA29" s="41"/>
      <c r="AB29" s="41"/>
      <c r="AC29" s="41"/>
      <c r="AD29" s="41"/>
      <c r="AE29" s="41"/>
      <c r="AF29" s="41"/>
      <c r="AG29" s="41"/>
      <c r="AH29" s="41"/>
      <c r="AI29" s="41"/>
      <c r="AJ29" s="41"/>
      <c r="AK29" s="41"/>
      <c r="AL29" s="41"/>
      <c r="AM29" s="41"/>
      <c r="AN29" s="41"/>
      <c r="AO29" s="41"/>
      <c r="AP29" s="41"/>
      <c r="AQ29" s="41"/>
      <c r="AR29" s="41"/>
      <c r="AS29" s="41"/>
      <c r="AT29" s="41"/>
      <c r="AU29" s="41"/>
      <c r="AV29" s="44"/>
      <c r="AW29" s="41"/>
      <c r="AX29" s="41"/>
      <c r="AY29" s="41"/>
      <c r="AZ29" s="42"/>
      <c r="BA29" s="122">
        <v>1</v>
      </c>
      <c r="BB29" s="123"/>
      <c r="BC29" s="123"/>
      <c r="BD29" s="123"/>
      <c r="BE29" s="124"/>
      <c r="BF29" s="123" t="s">
        <v>95</v>
      </c>
      <c r="BG29" s="123"/>
      <c r="BH29" s="123"/>
      <c r="BI29" s="123"/>
      <c r="BJ29" s="124"/>
    </row>
    <row r="30" spans="1:62" x14ac:dyDescent="0.15">
      <c r="A30" s="7">
        <v>29</v>
      </c>
      <c r="B30" s="23"/>
      <c r="C30" s="47"/>
      <c r="D30" s="48"/>
      <c r="E30" s="48"/>
      <c r="F30" s="49"/>
      <c r="G30" s="82" t="s">
        <v>103</v>
      </c>
      <c r="H30" s="66"/>
      <c r="I30" s="66"/>
      <c r="J30" s="66"/>
      <c r="K30" s="66"/>
      <c r="L30" s="66"/>
      <c r="M30" s="50"/>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4"/>
      <c r="AW30" s="41"/>
      <c r="AX30" s="41"/>
      <c r="AY30" s="41"/>
      <c r="AZ30" s="42"/>
      <c r="BA30" s="122">
        <f>(BA29*PI()*(BA28)^2 /4)*60*60</f>
        <v>706.85834705770344</v>
      </c>
      <c r="BB30" s="123"/>
      <c r="BC30" s="123"/>
      <c r="BD30" s="123"/>
      <c r="BE30" s="124"/>
      <c r="BF30" s="123" t="s">
        <v>79</v>
      </c>
      <c r="BG30" s="123"/>
      <c r="BH30" s="123"/>
      <c r="BI30" s="123"/>
      <c r="BJ30" s="124"/>
    </row>
    <row r="31" spans="1:62" x14ac:dyDescent="0.15">
      <c r="A31" s="7">
        <v>30</v>
      </c>
      <c r="B31" s="23"/>
      <c r="C31" s="47"/>
      <c r="D31" s="48"/>
      <c r="E31" s="48"/>
      <c r="F31" s="49"/>
      <c r="G31" s="82" t="s">
        <v>100</v>
      </c>
      <c r="H31" s="66"/>
      <c r="I31" s="66"/>
      <c r="J31" s="66"/>
      <c r="K31" s="66"/>
      <c r="L31" s="66"/>
      <c r="M31" s="50"/>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4"/>
      <c r="AW31" s="41"/>
      <c r="AX31" s="41"/>
      <c r="AY31" s="41"/>
      <c r="AZ31" s="42"/>
      <c r="BA31" s="122">
        <f ca="1">BA27/BA30</f>
        <v>2.6609967731179243</v>
      </c>
      <c r="BB31" s="123"/>
      <c r="BC31" s="123"/>
      <c r="BD31" s="123"/>
      <c r="BE31" s="124"/>
      <c r="BF31" s="123" t="s">
        <v>81</v>
      </c>
      <c r="BG31" s="123"/>
      <c r="BH31" s="123"/>
      <c r="BI31" s="123"/>
      <c r="BJ31" s="124"/>
    </row>
    <row r="32" spans="1:62" x14ac:dyDescent="0.15">
      <c r="A32" s="7">
        <v>31</v>
      </c>
      <c r="B32" s="23"/>
      <c r="C32" s="145"/>
      <c r="D32" s="146"/>
      <c r="E32" s="146"/>
      <c r="F32" s="157"/>
      <c r="G32" s="82" t="s">
        <v>105</v>
      </c>
      <c r="H32" s="66"/>
      <c r="I32" s="66"/>
      <c r="J32" s="66"/>
      <c r="K32" s="66"/>
      <c r="L32" s="66"/>
      <c r="M32" s="50"/>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2"/>
      <c r="BA32" s="122">
        <v>48</v>
      </c>
      <c r="BB32" s="123"/>
      <c r="BC32" s="123"/>
      <c r="BD32" s="123"/>
      <c r="BE32" s="124"/>
      <c r="BF32" s="123" t="s">
        <v>81</v>
      </c>
      <c r="BG32" s="123"/>
      <c r="BH32" s="123"/>
      <c r="BI32" s="123"/>
      <c r="BJ32" s="124"/>
    </row>
    <row r="33" spans="1:62" x14ac:dyDescent="0.15">
      <c r="A33" s="7">
        <v>32</v>
      </c>
      <c r="B33" s="23"/>
      <c r="C33" s="145"/>
      <c r="D33" s="146"/>
      <c r="E33" s="146"/>
      <c r="F33" s="157"/>
      <c r="G33" s="82" t="s">
        <v>98</v>
      </c>
      <c r="H33" s="66"/>
      <c r="I33" s="66"/>
      <c r="J33" s="66"/>
      <c r="K33" s="66"/>
      <c r="L33" s="66"/>
      <c r="M33" s="50"/>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5"/>
      <c r="AT33" s="41"/>
      <c r="AU33" s="41"/>
      <c r="AV33" s="41"/>
      <c r="AW33" s="41"/>
      <c r="AX33" s="41"/>
      <c r="AY33" s="41"/>
      <c r="AZ33" s="42"/>
      <c r="BA33" s="122">
        <v>2</v>
      </c>
      <c r="BB33" s="123"/>
      <c r="BC33" s="123"/>
      <c r="BD33" s="123"/>
      <c r="BE33" s="124"/>
      <c r="BF33" s="123" t="s">
        <v>81</v>
      </c>
      <c r="BG33" s="123"/>
      <c r="BH33" s="123"/>
      <c r="BI33" s="123"/>
      <c r="BJ33" s="124"/>
    </row>
    <row r="34" spans="1:62" x14ac:dyDescent="0.15">
      <c r="A34" s="7">
        <v>33</v>
      </c>
      <c r="B34" s="23"/>
      <c r="C34" s="145"/>
      <c r="D34" s="146"/>
      <c r="E34" s="146"/>
      <c r="F34" s="157"/>
      <c r="G34" s="82" t="s">
        <v>99</v>
      </c>
      <c r="H34" s="66"/>
      <c r="I34" s="66"/>
      <c r="J34" s="66"/>
      <c r="K34" s="66"/>
      <c r="L34" s="66"/>
      <c r="M34" s="50"/>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2"/>
      <c r="BA34" s="122">
        <f ca="1">2*BA31+BA32+BA33</f>
        <v>55.321993546235845</v>
      </c>
      <c r="BB34" s="123"/>
      <c r="BC34" s="123"/>
      <c r="BD34" s="123"/>
      <c r="BE34" s="124"/>
      <c r="BF34" s="123" t="s">
        <v>81</v>
      </c>
      <c r="BG34" s="123"/>
      <c r="BH34" s="123"/>
      <c r="BI34" s="123"/>
      <c r="BJ34" s="124"/>
    </row>
    <row r="35" spans="1:62" x14ac:dyDescent="0.15">
      <c r="A35" s="7">
        <v>34</v>
      </c>
      <c r="B35" s="23"/>
      <c r="C35" s="145"/>
      <c r="D35" s="146"/>
      <c r="E35" s="146"/>
      <c r="F35" s="157"/>
      <c r="G35" s="82" t="s">
        <v>101</v>
      </c>
      <c r="H35" s="66"/>
      <c r="I35" s="66"/>
      <c r="J35" s="66"/>
      <c r="K35" s="66"/>
      <c r="L35" s="66"/>
      <c r="M35" s="50"/>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2"/>
      <c r="BA35" s="122">
        <f ca="1">BA27/BA34</f>
        <v>34</v>
      </c>
      <c r="BB35" s="123"/>
      <c r="BC35" s="123"/>
      <c r="BD35" s="123"/>
      <c r="BE35" s="124"/>
      <c r="BF35" s="123" t="s">
        <v>79</v>
      </c>
      <c r="BG35" s="123"/>
      <c r="BH35" s="123"/>
      <c r="BI35" s="123"/>
      <c r="BJ35" s="124"/>
    </row>
    <row r="36" spans="1:62" x14ac:dyDescent="0.15">
      <c r="A36" s="7">
        <v>35</v>
      </c>
      <c r="B36" s="23"/>
      <c r="C36" s="145"/>
      <c r="D36" s="146"/>
      <c r="E36" s="146"/>
      <c r="F36" s="157"/>
      <c r="G36" s="82" t="s">
        <v>102</v>
      </c>
      <c r="H36" s="66"/>
      <c r="I36" s="66"/>
      <c r="J36" s="66"/>
      <c r="K36" s="66"/>
      <c r="L36" s="66"/>
      <c r="M36" s="50"/>
      <c r="N36" s="41"/>
      <c r="O36" s="45"/>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2"/>
      <c r="BA36" s="140">
        <f ca="1">BA35*BA26</f>
        <v>170</v>
      </c>
      <c r="BB36" s="123"/>
      <c r="BC36" s="123"/>
      <c r="BD36" s="123"/>
      <c r="BE36" s="124"/>
      <c r="BF36" s="123" t="s">
        <v>79</v>
      </c>
      <c r="BG36" s="123"/>
      <c r="BH36" s="123"/>
      <c r="BI36" s="123"/>
      <c r="BJ36" s="124"/>
    </row>
    <row r="37" spans="1:62" x14ac:dyDescent="0.15">
      <c r="A37" s="7">
        <v>36</v>
      </c>
      <c r="B37" s="23"/>
      <c r="C37" s="145"/>
      <c r="D37" s="146"/>
      <c r="E37" s="146"/>
      <c r="F37" s="157"/>
      <c r="G37" s="23" t="s">
        <v>157</v>
      </c>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2"/>
      <c r="BA37" s="231">
        <f ca="1">(2*BA31)/BA34 *100</f>
        <v>9.6200321157767839</v>
      </c>
      <c r="BB37" s="231"/>
      <c r="BC37" s="231"/>
      <c r="BD37" s="231"/>
      <c r="BE37" s="231"/>
      <c r="BF37" s="231" t="s">
        <v>56</v>
      </c>
      <c r="BG37" s="231"/>
      <c r="BH37" s="231"/>
      <c r="BI37" s="231"/>
      <c r="BJ37" s="231"/>
    </row>
    <row r="38" spans="1:62" x14ac:dyDescent="0.15">
      <c r="A38" s="7">
        <v>37</v>
      </c>
      <c r="B38" s="23"/>
      <c r="C38" s="145"/>
      <c r="D38" s="146"/>
      <c r="E38" s="146"/>
      <c r="F38" s="157"/>
      <c r="G38" s="23"/>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2"/>
      <c r="BA38" s="231"/>
      <c r="BB38" s="231"/>
      <c r="BC38" s="231"/>
      <c r="BD38" s="231"/>
      <c r="BE38" s="231"/>
      <c r="BF38" s="231"/>
      <c r="BG38" s="231"/>
      <c r="BH38" s="231"/>
      <c r="BI38" s="231"/>
      <c r="BJ38" s="231"/>
    </row>
    <row r="39" spans="1:62" x14ac:dyDescent="0.15">
      <c r="A39" s="7">
        <v>38</v>
      </c>
      <c r="B39" s="23"/>
      <c r="C39" s="145"/>
      <c r="D39" s="146"/>
      <c r="E39" s="146"/>
      <c r="F39" s="157"/>
      <c r="G39" s="23"/>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2"/>
      <c r="BA39" s="231"/>
      <c r="BB39" s="231"/>
      <c r="BC39" s="231"/>
      <c r="BD39" s="231"/>
      <c r="BE39" s="231"/>
      <c r="BF39" s="231"/>
      <c r="BG39" s="231"/>
      <c r="BH39" s="231"/>
      <c r="BI39" s="231"/>
      <c r="BJ39" s="231"/>
    </row>
    <row r="40" spans="1:62" x14ac:dyDescent="0.15">
      <c r="A40" s="7">
        <v>39</v>
      </c>
      <c r="B40" s="23"/>
      <c r="C40" s="145"/>
      <c r="D40" s="146"/>
      <c r="E40" s="146"/>
      <c r="F40" s="157"/>
      <c r="G40" s="23"/>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2"/>
      <c r="BA40" s="231"/>
      <c r="BB40" s="231"/>
      <c r="BC40" s="231"/>
      <c r="BD40" s="231"/>
      <c r="BE40" s="231"/>
      <c r="BF40" s="231"/>
      <c r="BG40" s="231"/>
      <c r="BH40" s="231"/>
      <c r="BI40" s="231"/>
      <c r="BJ40" s="231"/>
    </row>
    <row r="41" spans="1:62" x14ac:dyDescent="0.15">
      <c r="A41" s="7">
        <v>40</v>
      </c>
      <c r="B41" s="23"/>
      <c r="C41" s="145"/>
      <c r="D41" s="146"/>
      <c r="E41" s="146"/>
      <c r="F41" s="157"/>
      <c r="G41" s="23"/>
      <c r="H41" s="41"/>
      <c r="I41" s="41"/>
      <c r="J41" s="41"/>
      <c r="K41" s="41"/>
      <c r="L41" s="41"/>
      <c r="M41" s="41"/>
      <c r="N41" s="41"/>
      <c r="O41" s="45"/>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2"/>
      <c r="BA41" s="231"/>
      <c r="BB41" s="231"/>
      <c r="BC41" s="231"/>
      <c r="BD41" s="231"/>
      <c r="BE41" s="231"/>
      <c r="BF41" s="231"/>
      <c r="BG41" s="231"/>
      <c r="BH41" s="231"/>
      <c r="BI41" s="231"/>
      <c r="BJ41" s="231"/>
    </row>
    <row r="42" spans="1:62" x14ac:dyDescent="0.15">
      <c r="A42" s="7">
        <v>41</v>
      </c>
      <c r="B42" s="23"/>
      <c r="C42" s="145"/>
      <c r="D42" s="146"/>
      <c r="E42" s="146"/>
      <c r="F42" s="157"/>
      <c r="G42" s="23"/>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2"/>
      <c r="BA42" s="231"/>
      <c r="BB42" s="231"/>
      <c r="BC42" s="231"/>
      <c r="BD42" s="231"/>
      <c r="BE42" s="231"/>
      <c r="BF42" s="231"/>
      <c r="BG42" s="231"/>
      <c r="BH42" s="231"/>
      <c r="BI42" s="231"/>
      <c r="BJ42" s="231"/>
    </row>
    <row r="43" spans="1:62" x14ac:dyDescent="0.15">
      <c r="A43" s="7">
        <v>42</v>
      </c>
      <c r="B43" s="23"/>
      <c r="C43" s="145"/>
      <c r="D43" s="146"/>
      <c r="E43" s="146"/>
      <c r="F43" s="157"/>
      <c r="G43" s="23"/>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2"/>
      <c r="BA43" s="231"/>
      <c r="BB43" s="231"/>
      <c r="BC43" s="231"/>
      <c r="BD43" s="231"/>
      <c r="BE43" s="231"/>
      <c r="BF43" s="231"/>
      <c r="BG43" s="231"/>
      <c r="BH43" s="231"/>
      <c r="BI43" s="231"/>
      <c r="BJ43" s="231"/>
    </row>
    <row r="44" spans="1:62" x14ac:dyDescent="0.15">
      <c r="A44" s="7">
        <v>43</v>
      </c>
      <c r="B44" s="23"/>
      <c r="C44" s="145"/>
      <c r="D44" s="146"/>
      <c r="E44" s="146"/>
      <c r="F44" s="157"/>
      <c r="G44" s="23"/>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2"/>
      <c r="BA44" s="231"/>
      <c r="BB44" s="231"/>
      <c r="BC44" s="231"/>
      <c r="BD44" s="231"/>
      <c r="BE44" s="231"/>
      <c r="BF44" s="231"/>
      <c r="BG44" s="231"/>
      <c r="BH44" s="231"/>
      <c r="BI44" s="231"/>
      <c r="BJ44" s="231"/>
    </row>
    <row r="45" spans="1:62" x14ac:dyDescent="0.15">
      <c r="A45" s="7">
        <v>44</v>
      </c>
      <c r="B45" s="23"/>
      <c r="C45" s="145"/>
      <c r="D45" s="146"/>
      <c r="E45" s="146"/>
      <c r="F45" s="157"/>
      <c r="G45" s="23"/>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2"/>
      <c r="BA45" s="231"/>
      <c r="BB45" s="231"/>
      <c r="BC45" s="231"/>
      <c r="BD45" s="231"/>
      <c r="BE45" s="231"/>
      <c r="BF45" s="231"/>
      <c r="BG45" s="231"/>
      <c r="BH45" s="231"/>
      <c r="BI45" s="231"/>
      <c r="BJ45" s="231"/>
    </row>
    <row r="46" spans="1:62" x14ac:dyDescent="0.15">
      <c r="A46" s="7">
        <v>45</v>
      </c>
      <c r="B46" s="23"/>
      <c r="C46" s="145"/>
      <c r="D46" s="146"/>
      <c r="E46" s="146"/>
      <c r="F46" s="157"/>
      <c r="G46" s="23"/>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2"/>
      <c r="BA46" s="231"/>
      <c r="BB46" s="231"/>
      <c r="BC46" s="231"/>
      <c r="BD46" s="231"/>
      <c r="BE46" s="231"/>
      <c r="BF46" s="231"/>
      <c r="BG46" s="231"/>
      <c r="BH46" s="231"/>
      <c r="BI46" s="231"/>
      <c r="BJ46" s="231"/>
    </row>
    <row r="47" spans="1:62" x14ac:dyDescent="0.15">
      <c r="A47" s="7">
        <v>46</v>
      </c>
      <c r="B47" s="23"/>
      <c r="C47" s="145"/>
      <c r="D47" s="146"/>
      <c r="E47" s="146"/>
      <c r="F47" s="157"/>
      <c r="G47" s="23"/>
      <c r="H47" s="41"/>
      <c r="I47" s="41"/>
      <c r="J47" s="41"/>
      <c r="K47" s="41"/>
      <c r="L47" s="41"/>
      <c r="M47" s="41"/>
      <c r="N47" s="41"/>
      <c r="O47" s="41"/>
      <c r="P47" s="41"/>
      <c r="Q47" s="41"/>
      <c r="R47" s="41"/>
      <c r="S47" s="41"/>
      <c r="T47" s="41"/>
      <c r="U47" s="41"/>
      <c r="V47" s="41"/>
      <c r="W47" s="41"/>
      <c r="X47" s="41"/>
      <c r="Y47" s="41"/>
      <c r="Z47" s="41"/>
      <c r="AA47" s="41"/>
      <c r="AB47" s="41"/>
      <c r="AC47" s="41"/>
      <c r="AD47" s="41"/>
      <c r="AE47" s="41"/>
      <c r="AF47" s="41"/>
      <c r="AG47" s="41"/>
      <c r="AH47" s="41"/>
      <c r="AI47" s="41"/>
      <c r="AJ47" s="41"/>
      <c r="AK47" s="41"/>
      <c r="AL47" s="41"/>
      <c r="AM47" s="41"/>
      <c r="AN47" s="41"/>
      <c r="AO47" s="41"/>
      <c r="AP47" s="41"/>
      <c r="AQ47" s="41"/>
      <c r="AR47" s="41"/>
      <c r="AS47" s="41"/>
      <c r="AT47" s="41"/>
      <c r="AU47" s="41"/>
      <c r="AV47" s="41"/>
      <c r="AW47" s="41"/>
      <c r="AX47" s="41"/>
      <c r="AY47" s="41"/>
      <c r="AZ47" s="42"/>
      <c r="BA47" s="231"/>
      <c r="BB47" s="231"/>
      <c r="BC47" s="231"/>
      <c r="BD47" s="231"/>
      <c r="BE47" s="231"/>
      <c r="BF47" s="231"/>
      <c r="BG47" s="231"/>
      <c r="BH47" s="231"/>
      <c r="BI47" s="231"/>
      <c r="BJ47" s="231"/>
    </row>
    <row r="48" spans="1:62" x14ac:dyDescent="0.15">
      <c r="A48" s="7">
        <v>47</v>
      </c>
      <c r="B48" s="23"/>
      <c r="C48" s="145"/>
      <c r="D48" s="146"/>
      <c r="E48" s="146"/>
      <c r="F48" s="157"/>
      <c r="G48" s="23"/>
      <c r="H48" s="41"/>
      <c r="I48" s="41"/>
      <c r="J48" s="41"/>
      <c r="K48" s="41"/>
      <c r="L48" s="41"/>
      <c r="M48" s="41"/>
      <c r="N48" s="41"/>
      <c r="O48" s="41"/>
      <c r="P48" s="41"/>
      <c r="Q48" s="41"/>
      <c r="R48" s="41"/>
      <c r="S48" s="41"/>
      <c r="T48" s="41"/>
      <c r="U48" s="41"/>
      <c r="V48" s="41"/>
      <c r="W48" s="41"/>
      <c r="X48" s="41"/>
      <c r="Y48" s="41"/>
      <c r="Z48" s="41"/>
      <c r="AA48" s="41"/>
      <c r="AB48" s="41"/>
      <c r="AC48" s="41"/>
      <c r="AD48" s="41"/>
      <c r="AE48" s="41"/>
      <c r="AF48" s="41"/>
      <c r="AG48" s="41"/>
      <c r="AH48" s="41"/>
      <c r="AI48" s="41"/>
      <c r="AJ48" s="41"/>
      <c r="AK48" s="41"/>
      <c r="AL48" s="41"/>
      <c r="AM48" s="41"/>
      <c r="AN48" s="41"/>
      <c r="AO48" s="41"/>
      <c r="AP48" s="41"/>
      <c r="AQ48" s="41"/>
      <c r="AR48" s="41"/>
      <c r="AS48" s="41"/>
      <c r="AT48" s="41"/>
      <c r="AU48" s="41"/>
      <c r="AV48" s="41"/>
      <c r="AW48" s="41"/>
      <c r="AX48" s="41"/>
      <c r="AY48" s="41"/>
      <c r="AZ48" s="42"/>
      <c r="BA48" s="231"/>
      <c r="BB48" s="231"/>
      <c r="BC48" s="231"/>
      <c r="BD48" s="231"/>
      <c r="BE48" s="231"/>
      <c r="BF48" s="231"/>
      <c r="BG48" s="231"/>
      <c r="BH48" s="231"/>
      <c r="BI48" s="231"/>
      <c r="BJ48" s="231"/>
    </row>
    <row r="49" spans="1:62" x14ac:dyDescent="0.15">
      <c r="A49" s="7">
        <v>48</v>
      </c>
      <c r="B49" s="23"/>
      <c r="C49" s="145"/>
      <c r="D49" s="146"/>
      <c r="E49" s="146"/>
      <c r="F49" s="157"/>
      <c r="G49" s="23"/>
      <c r="H49" s="41"/>
      <c r="I49" s="41"/>
      <c r="J49" s="41"/>
      <c r="K49" s="41"/>
      <c r="L49" s="41"/>
      <c r="M49" s="41"/>
      <c r="N49" s="41"/>
      <c r="O49" s="41"/>
      <c r="P49" s="41"/>
      <c r="Q49" s="41"/>
      <c r="R49" s="41"/>
      <c r="S49" s="41"/>
      <c r="T49" s="41"/>
      <c r="U49" s="41"/>
      <c r="V49" s="41"/>
      <c r="W49" s="41"/>
      <c r="X49" s="41"/>
      <c r="Y49" s="41"/>
      <c r="Z49" s="41"/>
      <c r="AA49" s="41"/>
      <c r="AB49" s="41"/>
      <c r="AC49" s="41"/>
      <c r="AD49" s="41"/>
      <c r="AE49" s="41"/>
      <c r="AF49" s="41"/>
      <c r="AG49" s="41"/>
      <c r="AH49" s="41"/>
      <c r="AI49" s="41"/>
      <c r="AJ49" s="41"/>
      <c r="AK49" s="41"/>
      <c r="AL49" s="41"/>
      <c r="AM49" s="41"/>
      <c r="AN49" s="41"/>
      <c r="AO49" s="41"/>
      <c r="AP49" s="41"/>
      <c r="AQ49" s="41"/>
      <c r="AR49" s="41"/>
      <c r="AS49" s="41"/>
      <c r="AT49" s="41"/>
      <c r="AU49" s="41"/>
      <c r="AV49" s="41"/>
      <c r="AW49" s="41"/>
      <c r="AX49" s="41"/>
      <c r="AY49" s="41"/>
      <c r="AZ49" s="42"/>
      <c r="BA49" s="231"/>
      <c r="BB49" s="231"/>
      <c r="BC49" s="231"/>
      <c r="BD49" s="231"/>
      <c r="BE49" s="231"/>
      <c r="BF49" s="231"/>
      <c r="BG49" s="231"/>
      <c r="BH49" s="231"/>
      <c r="BI49" s="231"/>
      <c r="BJ49" s="231"/>
    </row>
    <row r="50" spans="1:62" x14ac:dyDescent="0.15">
      <c r="A50" s="7">
        <v>49</v>
      </c>
      <c r="B50" s="23"/>
      <c r="C50" s="145"/>
      <c r="D50" s="146"/>
      <c r="E50" s="146"/>
      <c r="F50" s="157"/>
      <c r="G50" s="23"/>
      <c r="H50" s="41"/>
      <c r="I50" s="41"/>
      <c r="J50" s="41"/>
      <c r="K50" s="41"/>
      <c r="L50" s="41"/>
      <c r="M50" s="41"/>
      <c r="N50" s="41"/>
      <c r="O50" s="41"/>
      <c r="P50" s="41"/>
      <c r="Q50" s="41"/>
      <c r="R50" s="41"/>
      <c r="S50" s="41"/>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2"/>
      <c r="BA50" s="231"/>
      <c r="BB50" s="231"/>
      <c r="BC50" s="231"/>
      <c r="BD50" s="231"/>
      <c r="BE50" s="231"/>
      <c r="BF50" s="231"/>
      <c r="BG50" s="231"/>
      <c r="BH50" s="231"/>
      <c r="BI50" s="231"/>
      <c r="BJ50" s="231"/>
    </row>
    <row r="51" spans="1:62" x14ac:dyDescent="0.15">
      <c r="A51" s="7">
        <v>50</v>
      </c>
      <c r="B51" s="23"/>
      <c r="C51" s="145"/>
      <c r="D51" s="146"/>
      <c r="E51" s="146"/>
      <c r="F51" s="157"/>
      <c r="G51" s="23"/>
      <c r="H51" s="41"/>
      <c r="I51" s="41"/>
      <c r="J51" s="41"/>
      <c r="K51" s="41"/>
      <c r="L51" s="41"/>
      <c r="M51" s="41"/>
      <c r="N51" s="41"/>
      <c r="O51" s="41"/>
      <c r="P51" s="41"/>
      <c r="Q51" s="41"/>
      <c r="R51" s="41"/>
      <c r="S51" s="41"/>
      <c r="T51" s="41"/>
      <c r="U51" s="41"/>
      <c r="V51" s="41"/>
      <c r="W51" s="41"/>
      <c r="X51" s="41"/>
      <c r="Y51" s="41"/>
      <c r="Z51" s="41"/>
      <c r="AA51" s="41"/>
      <c r="AB51" s="41"/>
      <c r="AC51" s="41"/>
      <c r="AD51" s="41"/>
      <c r="AE51" s="41"/>
      <c r="AF51" s="41"/>
      <c r="AG51" s="41"/>
      <c r="AH51" s="41"/>
      <c r="AI51" s="41"/>
      <c r="AJ51" s="41"/>
      <c r="AK51" s="41"/>
      <c r="AL51" s="41"/>
      <c r="AM51" s="41"/>
      <c r="AN51" s="41"/>
      <c r="AO51" s="41"/>
      <c r="AP51" s="41"/>
      <c r="AQ51" s="41"/>
      <c r="AR51" s="41"/>
      <c r="AS51" s="41"/>
      <c r="AT51" s="41"/>
      <c r="AU51" s="41"/>
      <c r="AV51" s="41"/>
      <c r="AW51" s="41"/>
      <c r="AX51" s="41"/>
      <c r="AY51" s="41"/>
      <c r="AZ51" s="42"/>
      <c r="BA51" s="231"/>
      <c r="BB51" s="231"/>
      <c r="BC51" s="231"/>
      <c r="BD51" s="231"/>
      <c r="BE51" s="231"/>
      <c r="BF51" s="231"/>
      <c r="BG51" s="231"/>
      <c r="BH51" s="231"/>
      <c r="BI51" s="231"/>
      <c r="BJ51" s="231"/>
    </row>
    <row r="52" spans="1:62" x14ac:dyDescent="0.15">
      <c r="A52" s="7">
        <v>51</v>
      </c>
      <c r="B52" s="23"/>
      <c r="C52" s="145"/>
      <c r="D52" s="146"/>
      <c r="E52" s="146"/>
      <c r="F52" s="157"/>
      <c r="G52" s="23"/>
      <c r="H52" s="41"/>
      <c r="I52" s="41"/>
      <c r="J52" s="41"/>
      <c r="K52" s="41"/>
      <c r="L52" s="41"/>
      <c r="M52" s="41"/>
      <c r="N52" s="41"/>
      <c r="O52" s="41"/>
      <c r="P52" s="41"/>
      <c r="Q52" s="41"/>
      <c r="R52" s="41"/>
      <c r="S52" s="41"/>
      <c r="T52" s="41"/>
      <c r="U52" s="41"/>
      <c r="V52" s="41"/>
      <c r="W52" s="41"/>
      <c r="X52" s="41"/>
      <c r="Y52" s="41"/>
      <c r="Z52" s="41"/>
      <c r="AA52" s="41"/>
      <c r="AB52" s="41"/>
      <c r="AC52" s="41"/>
      <c r="AD52" s="41"/>
      <c r="AE52" s="41"/>
      <c r="AF52" s="41"/>
      <c r="AG52" s="41"/>
      <c r="AH52" s="41"/>
      <c r="AI52" s="41"/>
      <c r="AJ52" s="41"/>
      <c r="AK52" s="41"/>
      <c r="AL52" s="41"/>
      <c r="AM52" s="41"/>
      <c r="AN52" s="41"/>
      <c r="AO52" s="41"/>
      <c r="AP52" s="41"/>
      <c r="AQ52" s="41"/>
      <c r="AR52" s="41"/>
      <c r="AS52" s="41"/>
      <c r="AT52" s="41"/>
      <c r="AU52" s="41"/>
      <c r="AV52" s="41"/>
      <c r="AW52" s="41"/>
      <c r="AX52" s="41"/>
      <c r="AY52" s="41"/>
      <c r="AZ52" s="42"/>
      <c r="BA52" s="231"/>
      <c r="BB52" s="231"/>
      <c r="BC52" s="231"/>
      <c r="BD52" s="231"/>
      <c r="BE52" s="231"/>
      <c r="BF52" s="231"/>
      <c r="BG52" s="231"/>
      <c r="BH52" s="231"/>
      <c r="BI52" s="231"/>
      <c r="BJ52" s="231"/>
    </row>
    <row r="53" spans="1:62" x14ac:dyDescent="0.15">
      <c r="A53" s="7">
        <v>52</v>
      </c>
      <c r="B53" s="23"/>
      <c r="C53" s="145"/>
      <c r="D53" s="146"/>
      <c r="E53" s="146"/>
      <c r="F53" s="157"/>
      <c r="G53" s="23"/>
      <c r="H53" s="41"/>
      <c r="I53" s="41"/>
      <c r="J53" s="41"/>
      <c r="K53" s="41"/>
      <c r="L53" s="41"/>
      <c r="M53" s="41"/>
      <c r="N53" s="41"/>
      <c r="O53" s="41"/>
      <c r="P53" s="41"/>
      <c r="Q53" s="41"/>
      <c r="R53" s="41"/>
      <c r="S53" s="41"/>
      <c r="T53" s="41"/>
      <c r="U53" s="41"/>
      <c r="V53" s="41"/>
      <c r="W53" s="41"/>
      <c r="X53" s="41"/>
      <c r="Y53" s="41"/>
      <c r="Z53" s="41"/>
      <c r="AA53" s="41"/>
      <c r="AB53" s="41"/>
      <c r="AC53" s="41"/>
      <c r="AD53" s="41"/>
      <c r="AE53" s="41"/>
      <c r="AF53" s="41"/>
      <c r="AG53" s="41"/>
      <c r="AH53" s="41"/>
      <c r="AI53" s="41"/>
      <c r="AJ53" s="41"/>
      <c r="AK53" s="41"/>
      <c r="AL53" s="41"/>
      <c r="AM53" s="41"/>
      <c r="AN53" s="41"/>
      <c r="AO53" s="41"/>
      <c r="AP53" s="41"/>
      <c r="AQ53" s="41"/>
      <c r="AR53" s="41"/>
      <c r="AS53" s="41"/>
      <c r="AT53" s="41"/>
      <c r="AU53" s="41"/>
      <c r="AV53" s="41"/>
      <c r="AW53" s="41"/>
      <c r="AX53" s="41"/>
      <c r="AY53" s="41"/>
      <c r="AZ53" s="42"/>
      <c r="BA53" s="231"/>
      <c r="BB53" s="231"/>
      <c r="BC53" s="231"/>
      <c r="BD53" s="231"/>
      <c r="BE53" s="231"/>
      <c r="BF53" s="231"/>
      <c r="BG53" s="231"/>
      <c r="BH53" s="231"/>
      <c r="BI53" s="231"/>
      <c r="BJ53" s="231"/>
    </row>
    <row r="54" spans="1:62" x14ac:dyDescent="0.15">
      <c r="A54" s="7">
        <v>53</v>
      </c>
      <c r="B54" s="23"/>
      <c r="C54" s="145"/>
      <c r="D54" s="146"/>
      <c r="E54" s="146"/>
      <c r="F54" s="157"/>
      <c r="G54" s="23"/>
      <c r="H54" s="41"/>
      <c r="I54" s="41"/>
      <c r="J54" s="41"/>
      <c r="K54" s="41"/>
      <c r="L54" s="41"/>
      <c r="M54" s="41"/>
      <c r="N54" s="41"/>
      <c r="O54" s="41"/>
      <c r="P54" s="41"/>
      <c r="Q54" s="41"/>
      <c r="R54" s="41"/>
      <c r="S54" s="41"/>
      <c r="T54" s="41"/>
      <c r="U54" s="41"/>
      <c r="V54" s="41"/>
      <c r="W54" s="41"/>
      <c r="X54" s="41"/>
      <c r="Y54" s="41"/>
      <c r="Z54" s="41"/>
      <c r="AA54" s="41"/>
      <c r="AB54" s="41"/>
      <c r="AC54" s="41"/>
      <c r="AD54" s="41"/>
      <c r="AE54" s="41"/>
      <c r="AF54" s="41"/>
      <c r="AG54" s="41"/>
      <c r="AH54" s="41"/>
      <c r="AI54" s="41"/>
      <c r="AJ54" s="41"/>
      <c r="AK54" s="41"/>
      <c r="AL54" s="41"/>
      <c r="AM54" s="41"/>
      <c r="AN54" s="41"/>
      <c r="AO54" s="41"/>
      <c r="AP54" s="41"/>
      <c r="AQ54" s="41"/>
      <c r="AR54" s="41"/>
      <c r="AS54" s="41"/>
      <c r="AT54" s="41"/>
      <c r="AU54" s="41"/>
      <c r="AV54" s="41"/>
      <c r="AW54" s="41"/>
      <c r="AX54" s="41"/>
      <c r="AY54" s="41"/>
      <c r="AZ54" s="42"/>
      <c r="BA54" s="231"/>
      <c r="BB54" s="231"/>
      <c r="BC54" s="231"/>
      <c r="BD54" s="231"/>
      <c r="BE54" s="231"/>
      <c r="BF54" s="231"/>
      <c r="BG54" s="231"/>
      <c r="BH54" s="231"/>
      <c r="BI54" s="231"/>
      <c r="BJ54" s="231"/>
    </row>
    <row r="55" spans="1:62" x14ac:dyDescent="0.15">
      <c r="A55" s="7">
        <v>54</v>
      </c>
      <c r="B55" s="23"/>
      <c r="C55" s="47"/>
      <c r="D55" s="48"/>
      <c r="E55" s="48"/>
      <c r="F55" s="49"/>
      <c r="G55" s="23"/>
      <c r="H55" s="41"/>
      <c r="I55" s="41"/>
      <c r="J55" s="41"/>
      <c r="K55" s="41"/>
      <c r="L55" s="41"/>
      <c r="M55" s="41"/>
      <c r="N55" s="41"/>
      <c r="O55" s="41"/>
      <c r="P55" s="41"/>
      <c r="Q55" s="41"/>
      <c r="R55" s="41"/>
      <c r="S55" s="41"/>
      <c r="T55" s="41"/>
      <c r="U55" s="41"/>
      <c r="V55" s="41"/>
      <c r="W55" s="41"/>
      <c r="X55" s="41"/>
      <c r="Y55" s="41"/>
      <c r="Z55" s="41"/>
      <c r="AA55" s="41"/>
      <c r="AB55" s="41"/>
      <c r="AC55" s="41"/>
      <c r="AD55" s="41"/>
      <c r="AE55" s="41"/>
      <c r="AF55" s="41"/>
      <c r="AG55" s="41"/>
      <c r="AH55" s="41"/>
      <c r="AI55" s="41"/>
      <c r="AJ55" s="41"/>
      <c r="AK55" s="41"/>
      <c r="AL55" s="41"/>
      <c r="AM55" s="41"/>
      <c r="AN55" s="41"/>
      <c r="AO55" s="41"/>
      <c r="AP55" s="41"/>
      <c r="AQ55" s="41"/>
      <c r="AR55" s="41"/>
      <c r="AS55" s="41"/>
      <c r="AT55" s="41"/>
      <c r="AU55" s="41"/>
      <c r="AV55" s="41"/>
      <c r="AW55" s="41"/>
      <c r="AX55" s="41"/>
      <c r="AY55" s="41"/>
      <c r="AZ55" s="42"/>
      <c r="BA55" s="231"/>
      <c r="BB55" s="231"/>
      <c r="BC55" s="231"/>
      <c r="BD55" s="231"/>
      <c r="BE55" s="231"/>
      <c r="BF55" s="231"/>
      <c r="BG55" s="231"/>
      <c r="BH55" s="231"/>
      <c r="BI55" s="231"/>
      <c r="BJ55" s="231"/>
    </row>
    <row r="56" spans="1:62" x14ac:dyDescent="0.15">
      <c r="A56" s="7">
        <v>55</v>
      </c>
      <c r="B56" s="23"/>
      <c r="C56" s="47"/>
      <c r="D56" s="48"/>
      <c r="E56" s="48"/>
      <c r="F56" s="49"/>
      <c r="G56" s="23"/>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2"/>
      <c r="BA56" s="231"/>
      <c r="BB56" s="231"/>
      <c r="BC56" s="231"/>
      <c r="BD56" s="231"/>
      <c r="BE56" s="231"/>
      <c r="BF56" s="231"/>
      <c r="BG56" s="231"/>
      <c r="BH56" s="231"/>
      <c r="BI56" s="231"/>
      <c r="BJ56" s="231"/>
    </row>
    <row r="57" spans="1:62" x14ac:dyDescent="0.15">
      <c r="A57" s="7">
        <v>56</v>
      </c>
      <c r="B57" s="23"/>
      <c r="C57" s="145"/>
      <c r="D57" s="146"/>
      <c r="E57" s="146"/>
      <c r="F57" s="157"/>
      <c r="G57" s="23"/>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2"/>
      <c r="BA57" s="231"/>
      <c r="BB57" s="231"/>
      <c r="BC57" s="231"/>
      <c r="BD57" s="231"/>
      <c r="BE57" s="231"/>
      <c r="BF57" s="231"/>
      <c r="BG57" s="231"/>
      <c r="BH57" s="231"/>
      <c r="BI57" s="231"/>
      <c r="BJ57" s="231"/>
    </row>
    <row r="58" spans="1:62" x14ac:dyDescent="0.15">
      <c r="A58" s="7">
        <v>57</v>
      </c>
      <c r="B58" s="23"/>
      <c r="C58" s="145"/>
      <c r="D58" s="146"/>
      <c r="E58" s="146"/>
      <c r="F58" s="157"/>
      <c r="G58" s="23"/>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2"/>
      <c r="BA58" s="231"/>
      <c r="BB58" s="231"/>
      <c r="BC58" s="231"/>
      <c r="BD58" s="231"/>
      <c r="BE58" s="231"/>
      <c r="BF58" s="231"/>
      <c r="BG58" s="231"/>
      <c r="BH58" s="231"/>
      <c r="BI58" s="231"/>
      <c r="BJ58" s="231"/>
    </row>
    <row r="59" spans="1:62" x14ac:dyDescent="0.15">
      <c r="A59" s="7">
        <v>58</v>
      </c>
      <c r="B59" s="23"/>
      <c r="C59" s="145"/>
      <c r="D59" s="146"/>
      <c r="E59" s="146"/>
      <c r="F59" s="157"/>
      <c r="G59" s="23"/>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2"/>
      <c r="BA59" s="231"/>
      <c r="BB59" s="231"/>
      <c r="BC59" s="231"/>
      <c r="BD59" s="231"/>
      <c r="BE59" s="231"/>
      <c r="BF59" s="231"/>
      <c r="BG59" s="231"/>
      <c r="BH59" s="231"/>
      <c r="BI59" s="231"/>
      <c r="BJ59" s="231"/>
    </row>
    <row r="60" spans="1:62" x14ac:dyDescent="0.15">
      <c r="A60" s="7">
        <v>59</v>
      </c>
      <c r="B60" s="24"/>
      <c r="C60" s="36"/>
      <c r="D60" s="37"/>
      <c r="E60" s="37"/>
      <c r="F60" s="38"/>
      <c r="G60" s="24"/>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79"/>
      <c r="BA60" s="232"/>
      <c r="BB60" s="232"/>
      <c r="BC60" s="232"/>
      <c r="BD60" s="232"/>
      <c r="BE60" s="232"/>
      <c r="BF60" s="232"/>
      <c r="BG60" s="232"/>
      <c r="BH60" s="232"/>
      <c r="BI60" s="232"/>
      <c r="BJ60" s="232"/>
    </row>
    <row r="61" spans="1:62" x14ac:dyDescent="0.15">
      <c r="A61" s="7">
        <v>60</v>
      </c>
      <c r="B61" s="77"/>
      <c r="C61" s="25" t="s">
        <v>4</v>
      </c>
      <c r="D61" s="25"/>
      <c r="E61" s="26"/>
      <c r="F61" s="27"/>
      <c r="G61" s="25"/>
      <c r="H61" s="25"/>
      <c r="I61" s="25"/>
      <c r="J61" s="25"/>
      <c r="K61" s="25"/>
      <c r="L61" s="25"/>
      <c r="M61" s="25" t="s">
        <v>5</v>
      </c>
      <c r="N61" s="25"/>
      <c r="O61" s="25"/>
      <c r="P61" s="25"/>
      <c r="Q61" s="25"/>
      <c r="R61" s="25"/>
      <c r="S61" s="25"/>
      <c r="T61" s="25"/>
      <c r="U61" s="25"/>
      <c r="V61" s="25"/>
      <c r="W61" s="25"/>
      <c r="X61" s="25"/>
      <c r="Y61" s="25"/>
      <c r="Z61" s="26"/>
      <c r="AA61" s="27"/>
      <c r="AB61" s="25"/>
      <c r="AC61" s="28" t="s">
        <v>6</v>
      </c>
      <c r="AD61" s="29"/>
      <c r="AE61" s="30"/>
      <c r="AF61" s="27"/>
      <c r="AG61" s="25"/>
      <c r="AH61" s="25" t="s">
        <v>7</v>
      </c>
      <c r="AI61" s="25"/>
      <c r="AJ61" s="26"/>
      <c r="AK61" s="27"/>
      <c r="AL61" s="25" t="s">
        <v>8</v>
      </c>
      <c r="AM61" s="25"/>
      <c r="AN61" s="25"/>
      <c r="AO61" s="26"/>
      <c r="AP61" s="27" t="s">
        <v>9</v>
      </c>
      <c r="AQ61" s="25"/>
      <c r="AR61" s="25"/>
      <c r="AS61" s="25"/>
      <c r="AT61" s="26"/>
      <c r="AU61" s="31" t="s">
        <v>10</v>
      </c>
      <c r="AV61" s="31"/>
      <c r="AW61" s="31"/>
      <c r="AX61" s="32"/>
      <c r="AY61" s="31"/>
      <c r="AZ61" s="32"/>
      <c r="BA61" s="31"/>
      <c r="BB61" s="32"/>
      <c r="BC61" s="32"/>
      <c r="BD61" s="32"/>
      <c r="BE61" s="32"/>
      <c r="BF61" s="32"/>
      <c r="BG61" s="32"/>
      <c r="BH61" s="32"/>
      <c r="BI61" s="31"/>
      <c r="BJ61" s="33"/>
    </row>
    <row r="62" spans="1:62" x14ac:dyDescent="0.15">
      <c r="A62" s="7">
        <v>61</v>
      </c>
      <c r="B62" s="21"/>
      <c r="C62" s="9"/>
      <c r="D62" s="9"/>
      <c r="E62" s="10"/>
      <c r="F62" s="34"/>
      <c r="G62" s="9"/>
      <c r="H62" s="9"/>
      <c r="I62" s="9"/>
      <c r="J62" s="9"/>
      <c r="K62" s="9"/>
      <c r="L62" s="9"/>
      <c r="M62" s="9"/>
      <c r="N62" s="9"/>
      <c r="O62" s="9"/>
      <c r="P62" s="9"/>
      <c r="Q62" s="9"/>
      <c r="R62" s="9"/>
      <c r="S62" s="9"/>
      <c r="T62" s="9"/>
      <c r="U62" s="9"/>
      <c r="V62" s="9"/>
      <c r="W62" s="9"/>
      <c r="X62" s="9"/>
      <c r="Y62" s="9"/>
      <c r="Z62" s="10"/>
      <c r="AA62" s="34"/>
      <c r="AB62" s="9"/>
      <c r="AC62" s="9"/>
      <c r="AD62" s="9"/>
      <c r="AE62" s="10"/>
      <c r="AF62" s="34"/>
      <c r="AG62" s="9"/>
      <c r="AH62" s="9"/>
      <c r="AI62" s="9"/>
      <c r="AJ62" s="10"/>
      <c r="AK62" s="34"/>
      <c r="AL62" s="9"/>
      <c r="AM62" s="9"/>
      <c r="AN62" s="9"/>
      <c r="AO62" s="10"/>
      <c r="AP62" s="34"/>
      <c r="AQ62" s="9"/>
      <c r="AR62" s="9"/>
      <c r="AS62" s="9"/>
      <c r="AT62" s="10"/>
      <c r="AU62" s="11"/>
      <c r="AV62" s="11"/>
      <c r="AW62" s="11"/>
      <c r="AX62" s="11"/>
      <c r="AY62" s="11"/>
      <c r="AZ62" s="11"/>
      <c r="BA62" s="11"/>
      <c r="BB62" s="11"/>
      <c r="BC62" s="11"/>
      <c r="BD62" s="11"/>
      <c r="BE62" s="11"/>
      <c r="BF62" s="11"/>
      <c r="BG62" s="11"/>
      <c r="BH62" s="11"/>
      <c r="BI62" s="11"/>
      <c r="BJ62" s="22"/>
    </row>
    <row r="63" spans="1:62" x14ac:dyDescent="0.15">
      <c r="A63" s="7">
        <v>62</v>
      </c>
      <c r="B63" s="21"/>
      <c r="C63" s="9"/>
      <c r="D63" s="9"/>
      <c r="E63" s="10"/>
      <c r="F63" s="34"/>
      <c r="G63" s="9"/>
      <c r="H63" s="9"/>
      <c r="I63" s="9"/>
      <c r="J63" s="9"/>
      <c r="K63" s="9"/>
      <c r="L63" s="9"/>
      <c r="M63" s="9"/>
      <c r="N63" s="9"/>
      <c r="O63" s="9"/>
      <c r="P63" s="9"/>
      <c r="Q63" s="9"/>
      <c r="R63" s="9"/>
      <c r="S63" s="9"/>
      <c r="T63" s="9"/>
      <c r="U63" s="9"/>
      <c r="V63" s="9"/>
      <c r="W63" s="9"/>
      <c r="X63" s="9"/>
      <c r="Y63" s="9"/>
      <c r="Z63" s="10"/>
      <c r="AA63" s="34"/>
      <c r="AB63" s="9"/>
      <c r="AC63" s="9"/>
      <c r="AD63" s="9"/>
      <c r="AE63" s="10"/>
      <c r="AF63" s="34"/>
      <c r="AG63" s="9"/>
      <c r="AH63" s="9"/>
      <c r="AI63" s="9"/>
      <c r="AJ63" s="10"/>
      <c r="AK63" s="34"/>
      <c r="AL63" s="9"/>
      <c r="AM63" s="9"/>
      <c r="AN63" s="9"/>
      <c r="AO63" s="10"/>
      <c r="AP63" s="34"/>
      <c r="AQ63" s="9"/>
      <c r="AR63" s="9"/>
      <c r="AS63" s="9"/>
      <c r="AT63" s="10"/>
      <c r="AU63" s="11"/>
      <c r="AV63" s="138">
        <f>AV5</f>
        <v>0</v>
      </c>
      <c r="AW63" s="138"/>
      <c r="AX63" s="138"/>
      <c r="AY63" s="138"/>
      <c r="AZ63" s="138"/>
      <c r="BA63" s="138"/>
      <c r="BB63" s="138"/>
      <c r="BC63" s="138"/>
      <c r="BD63" s="138"/>
      <c r="BE63" s="138"/>
      <c r="BF63" s="138"/>
      <c r="BG63" s="138"/>
      <c r="BH63" s="138"/>
      <c r="BI63" s="138"/>
      <c r="BJ63" s="22"/>
    </row>
    <row r="64" spans="1:62" x14ac:dyDescent="0.15">
      <c r="A64" s="7">
        <v>63</v>
      </c>
      <c r="B64" s="21"/>
      <c r="C64" s="9"/>
      <c r="D64" s="9"/>
      <c r="E64" s="10"/>
      <c r="F64" s="34"/>
      <c r="G64" s="9"/>
      <c r="H64" s="9"/>
      <c r="I64" s="9"/>
      <c r="J64" s="9"/>
      <c r="K64" s="9"/>
      <c r="L64" s="9"/>
      <c r="M64" s="9"/>
      <c r="N64" s="9"/>
      <c r="O64" s="9"/>
      <c r="P64" s="9"/>
      <c r="Q64" s="9"/>
      <c r="R64" s="9"/>
      <c r="S64" s="9"/>
      <c r="T64" s="9"/>
      <c r="U64" s="9"/>
      <c r="V64" s="9"/>
      <c r="W64" s="9"/>
      <c r="X64" s="9"/>
      <c r="Y64" s="9"/>
      <c r="Z64" s="10"/>
      <c r="AA64" s="34"/>
      <c r="AB64" s="9"/>
      <c r="AC64" s="9"/>
      <c r="AD64" s="9"/>
      <c r="AE64" s="10"/>
      <c r="AF64" s="34"/>
      <c r="AG64" s="9"/>
      <c r="AH64" s="9"/>
      <c r="AI64" s="9"/>
      <c r="AJ64" s="10"/>
      <c r="AK64" s="34"/>
      <c r="AL64" s="9"/>
      <c r="AM64" s="9"/>
      <c r="AN64" s="9"/>
      <c r="AO64" s="10"/>
      <c r="AP64" s="34"/>
      <c r="AQ64" s="9"/>
      <c r="AR64" s="9"/>
      <c r="AS64" s="9"/>
      <c r="AT64" s="10"/>
      <c r="AU64" s="9"/>
      <c r="AV64" s="9"/>
      <c r="AW64" s="9"/>
      <c r="AX64" s="9"/>
      <c r="AY64" s="9"/>
      <c r="AZ64" s="9"/>
      <c r="BA64" s="9"/>
      <c r="BB64" s="9"/>
      <c r="BC64" s="9"/>
      <c r="BD64" s="9"/>
      <c r="BE64" s="9"/>
      <c r="BF64" s="9"/>
      <c r="BG64" s="9"/>
      <c r="BH64" s="9"/>
      <c r="BI64" s="9"/>
      <c r="BJ64" s="15"/>
    </row>
    <row r="65" spans="1:62" x14ac:dyDescent="0.15">
      <c r="A65" s="7">
        <v>64</v>
      </c>
      <c r="B65" s="78"/>
      <c r="C65" s="17"/>
      <c r="D65" s="17"/>
      <c r="E65" s="18"/>
      <c r="F65" s="35"/>
      <c r="G65" s="17"/>
      <c r="H65" s="17"/>
      <c r="I65" s="17"/>
      <c r="J65" s="17"/>
      <c r="K65" s="17"/>
      <c r="L65" s="17"/>
      <c r="M65" s="17"/>
      <c r="N65" s="17"/>
      <c r="O65" s="17"/>
      <c r="P65" s="17"/>
      <c r="Q65" s="17"/>
      <c r="R65" s="17"/>
      <c r="S65" s="17"/>
      <c r="T65" s="17"/>
      <c r="U65" s="17"/>
      <c r="V65" s="17"/>
      <c r="W65" s="17"/>
      <c r="X65" s="17"/>
      <c r="Y65" s="17"/>
      <c r="Z65" s="18"/>
      <c r="AA65" s="35"/>
      <c r="AB65" s="17"/>
      <c r="AC65" s="17"/>
      <c r="AD65" s="17"/>
      <c r="AE65" s="18"/>
      <c r="AF65" s="35"/>
      <c r="AG65" s="17"/>
      <c r="AH65" s="17"/>
      <c r="AI65" s="17"/>
      <c r="AJ65" s="18"/>
      <c r="AK65" s="35"/>
      <c r="AL65" s="17"/>
      <c r="AM65" s="17"/>
      <c r="AN65" s="17"/>
      <c r="AO65" s="18"/>
      <c r="AP65" s="35"/>
      <c r="AQ65" s="17"/>
      <c r="AR65" s="17"/>
      <c r="AS65" s="17"/>
      <c r="AT65" s="18"/>
      <c r="AU65" s="127" t="s">
        <v>17</v>
      </c>
      <c r="AV65" s="110"/>
      <c r="AW65" s="110"/>
      <c r="AX65" s="110"/>
      <c r="AY65" s="110">
        <v>11</v>
      </c>
      <c r="AZ65" s="110"/>
      <c r="BA65" s="110"/>
      <c r="BB65" s="110" t="s">
        <v>11</v>
      </c>
      <c r="BC65" s="110"/>
      <c r="BD65" s="110"/>
      <c r="BE65" s="110"/>
      <c r="BF65" s="110"/>
      <c r="BG65" s="110"/>
      <c r="BH65" s="110"/>
      <c r="BI65" s="110"/>
      <c r="BJ65" s="20"/>
    </row>
  </sheetData>
  <mergeCells count="169">
    <mergeCell ref="BA60:BE60"/>
    <mergeCell ref="BF60:BJ60"/>
    <mergeCell ref="AV63:BI63"/>
    <mergeCell ref="AU65:AX65"/>
    <mergeCell ref="AY65:BA65"/>
    <mergeCell ref="BB65:BD65"/>
    <mergeCell ref="BE65:BI65"/>
    <mergeCell ref="C58:F58"/>
    <mergeCell ref="BA58:BE58"/>
    <mergeCell ref="BF58:BJ58"/>
    <mergeCell ref="C59:F59"/>
    <mergeCell ref="BA59:BE59"/>
    <mergeCell ref="BF59:BJ59"/>
    <mergeCell ref="C54:F54"/>
    <mergeCell ref="BA54:BE54"/>
    <mergeCell ref="BF54:BJ54"/>
    <mergeCell ref="C57:F57"/>
    <mergeCell ref="BA57:BE57"/>
    <mergeCell ref="BF57:BJ57"/>
    <mergeCell ref="BA55:BE55"/>
    <mergeCell ref="BF55:BJ55"/>
    <mergeCell ref="BA56:BE56"/>
    <mergeCell ref="BF56:BJ56"/>
    <mergeCell ref="C52:F52"/>
    <mergeCell ref="BA52:BE52"/>
    <mergeCell ref="BF52:BJ52"/>
    <mergeCell ref="C53:F53"/>
    <mergeCell ref="BA53:BE53"/>
    <mergeCell ref="BF53:BJ53"/>
    <mergeCell ref="C50:F50"/>
    <mergeCell ref="BA50:BE50"/>
    <mergeCell ref="BF50:BJ50"/>
    <mergeCell ref="C51:F51"/>
    <mergeCell ref="BA51:BE51"/>
    <mergeCell ref="BF51:BJ51"/>
    <mergeCell ref="C48:F48"/>
    <mergeCell ref="BA48:BE48"/>
    <mergeCell ref="BF48:BJ48"/>
    <mergeCell ref="C49:F49"/>
    <mergeCell ref="BA49:BE49"/>
    <mergeCell ref="BF49:BJ49"/>
    <mergeCell ref="C46:F46"/>
    <mergeCell ref="BA46:BE46"/>
    <mergeCell ref="BF46:BJ46"/>
    <mergeCell ref="C47:F47"/>
    <mergeCell ref="BA47:BE47"/>
    <mergeCell ref="BF47:BJ47"/>
    <mergeCell ref="C44:F44"/>
    <mergeCell ref="BA44:BE44"/>
    <mergeCell ref="BF44:BJ44"/>
    <mergeCell ref="C45:F45"/>
    <mergeCell ref="BA45:BE45"/>
    <mergeCell ref="BF45:BJ45"/>
    <mergeCell ref="C42:F42"/>
    <mergeCell ref="BA42:BE42"/>
    <mergeCell ref="BF42:BJ42"/>
    <mergeCell ref="C43:F43"/>
    <mergeCell ref="BA43:BE43"/>
    <mergeCell ref="BF43:BJ43"/>
    <mergeCell ref="C40:F40"/>
    <mergeCell ref="BA40:BE40"/>
    <mergeCell ref="BF40:BJ40"/>
    <mergeCell ref="C41:F41"/>
    <mergeCell ref="BA41:BE41"/>
    <mergeCell ref="BF41:BJ41"/>
    <mergeCell ref="C38:F38"/>
    <mergeCell ref="BA38:BE38"/>
    <mergeCell ref="BF38:BJ38"/>
    <mergeCell ref="C39:F39"/>
    <mergeCell ref="BA39:BE39"/>
    <mergeCell ref="BF39:BJ39"/>
    <mergeCell ref="C36:F36"/>
    <mergeCell ref="BA36:BE36"/>
    <mergeCell ref="BF36:BJ36"/>
    <mergeCell ref="C37:F37"/>
    <mergeCell ref="BA37:BE37"/>
    <mergeCell ref="BF37:BJ37"/>
    <mergeCell ref="C34:F34"/>
    <mergeCell ref="BA34:BE34"/>
    <mergeCell ref="BF34:BJ34"/>
    <mergeCell ref="C35:F35"/>
    <mergeCell ref="BA35:BE35"/>
    <mergeCell ref="BF35:BJ35"/>
    <mergeCell ref="BA31:BE31"/>
    <mergeCell ref="BF31:BJ31"/>
    <mergeCell ref="C32:F32"/>
    <mergeCell ref="BA32:BE32"/>
    <mergeCell ref="BF32:BJ32"/>
    <mergeCell ref="C33:F33"/>
    <mergeCell ref="BA33:BE33"/>
    <mergeCell ref="BF33:BJ33"/>
    <mergeCell ref="BA28:BE28"/>
    <mergeCell ref="BF28:BJ28"/>
    <mergeCell ref="BA29:BE29"/>
    <mergeCell ref="BF29:BJ29"/>
    <mergeCell ref="BA30:BE30"/>
    <mergeCell ref="BF30:BJ30"/>
    <mergeCell ref="C25:F25"/>
    <mergeCell ref="BA25:BE25"/>
    <mergeCell ref="BF25:BJ25"/>
    <mergeCell ref="BA26:BE26"/>
    <mergeCell ref="BF26:BJ26"/>
    <mergeCell ref="BA27:BE27"/>
    <mergeCell ref="BF27:BJ27"/>
    <mergeCell ref="C24:F24"/>
    <mergeCell ref="BA24:BE24"/>
    <mergeCell ref="BF24:BJ24"/>
    <mergeCell ref="C22:F22"/>
    <mergeCell ref="BA22:BE22"/>
    <mergeCell ref="BF22:BJ22"/>
    <mergeCell ref="C23:F23"/>
    <mergeCell ref="BA23:BE23"/>
    <mergeCell ref="BF23:BJ23"/>
    <mergeCell ref="C20:F20"/>
    <mergeCell ref="BA20:BE20"/>
    <mergeCell ref="BF20:BJ20"/>
    <mergeCell ref="C21:F21"/>
    <mergeCell ref="BA21:BE21"/>
    <mergeCell ref="BF21:BJ21"/>
    <mergeCell ref="C18:F18"/>
    <mergeCell ref="BA18:BE18"/>
    <mergeCell ref="BF18:BJ18"/>
    <mergeCell ref="C19:F19"/>
    <mergeCell ref="BA19:BE19"/>
    <mergeCell ref="BF19:BJ19"/>
    <mergeCell ref="C16:F16"/>
    <mergeCell ref="BA16:BE16"/>
    <mergeCell ref="BF16:BJ16"/>
    <mergeCell ref="C17:F17"/>
    <mergeCell ref="BA17:BE17"/>
    <mergeCell ref="BF17:BJ17"/>
    <mergeCell ref="C14:F14"/>
    <mergeCell ref="BA14:BE14"/>
    <mergeCell ref="BF14:BJ14"/>
    <mergeCell ref="C15:F15"/>
    <mergeCell ref="BA15:BE15"/>
    <mergeCell ref="BF15:BJ15"/>
    <mergeCell ref="C12:F12"/>
    <mergeCell ref="BA12:BE12"/>
    <mergeCell ref="BF12:BJ12"/>
    <mergeCell ref="C13:F13"/>
    <mergeCell ref="BA13:BE13"/>
    <mergeCell ref="BF13:BJ13"/>
    <mergeCell ref="C10:F10"/>
    <mergeCell ref="BA10:BE10"/>
    <mergeCell ref="BF10:BJ10"/>
    <mergeCell ref="C11:F11"/>
    <mergeCell ref="BA11:BE11"/>
    <mergeCell ref="BF11:BJ11"/>
    <mergeCell ref="AX7:BJ7"/>
    <mergeCell ref="C8:F8"/>
    <mergeCell ref="BA8:BE8"/>
    <mergeCell ref="BF8:BJ8"/>
    <mergeCell ref="C9:F9"/>
    <mergeCell ref="BA9:BE9"/>
    <mergeCell ref="BF9:BJ9"/>
    <mergeCell ref="B5:F5"/>
    <mergeCell ref="G5:U5"/>
    <mergeCell ref="AX5:BJ5"/>
    <mergeCell ref="B6:F6"/>
    <mergeCell ref="G6:U6"/>
    <mergeCell ref="AX6:BJ6"/>
    <mergeCell ref="B2:F2"/>
    <mergeCell ref="G2:U2"/>
    <mergeCell ref="AN2:BI4"/>
    <mergeCell ref="B3:F3"/>
    <mergeCell ref="G3:U3"/>
    <mergeCell ref="B4:F4"/>
    <mergeCell ref="G4:U4"/>
  </mergeCells>
  <printOptions horizontalCentered="1" verticalCentered="1"/>
  <pageMargins left="0.55118110236220474" right="0.35433070866141736" top="0.59055118110236227" bottom="0.39370078740157483" header="0.11811023622047245" footer="0.11811023622047245"/>
  <pageSetup paperSize="9" scale="97" orientation="portrait" r:id="rId1"/>
  <headerFooter alignWithMargins="0">
    <oddFooter>&amp;R&amp;8&amp;F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00048-FF19-41AD-988A-F77EA2003DB2}">
  <sheetPr>
    <pageSetUpPr fitToPage="1"/>
  </sheetPr>
  <dimension ref="A2:EI68"/>
  <sheetViews>
    <sheetView showGridLines="0" topLeftCell="A31" zoomScale="105" zoomScaleNormal="112" zoomScaleSheetLayoutView="100" workbookViewId="0">
      <selection activeCell="DX17" sqref="DX17:EB17"/>
    </sheetView>
  </sheetViews>
  <sheetFormatPr baseColWidth="10" defaultColWidth="9.1640625" defaultRowHeight="13" x14ac:dyDescent="0.15"/>
  <cols>
    <col min="1" max="2" width="2.83203125" style="7" customWidth="1"/>
    <col min="3" max="9" width="1.6640625" style="7" customWidth="1"/>
    <col min="10" max="10" width="2" style="7" customWidth="1"/>
    <col min="11" max="132" width="1.6640625" style="7" customWidth="1"/>
    <col min="133" max="16384" width="9.1640625" style="7"/>
  </cols>
  <sheetData>
    <row r="2" spans="1:132" ht="12.75" customHeight="1" x14ac:dyDescent="0.15">
      <c r="A2" s="52">
        <v>1</v>
      </c>
      <c r="B2" s="204" t="s">
        <v>16</v>
      </c>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c r="AC2" s="205"/>
      <c r="AD2" s="205"/>
      <c r="AE2" s="205"/>
      <c r="AF2" s="205"/>
      <c r="AG2" s="205"/>
      <c r="AH2" s="205"/>
      <c r="AI2" s="205"/>
      <c r="AJ2" s="205"/>
      <c r="AK2" s="205"/>
      <c r="AL2" s="205"/>
      <c r="AM2" s="205"/>
      <c r="AN2" s="205"/>
      <c r="AO2" s="205"/>
      <c r="AP2" s="205"/>
      <c r="AQ2" s="205"/>
      <c r="AR2" s="205"/>
      <c r="AS2" s="205"/>
      <c r="AT2" s="205"/>
      <c r="AU2" s="205"/>
      <c r="AV2" s="205"/>
      <c r="AW2" s="205"/>
      <c r="AX2" s="205"/>
      <c r="AY2" s="205"/>
      <c r="AZ2" s="205"/>
      <c r="BA2" s="205"/>
      <c r="BB2" s="205"/>
      <c r="BC2" s="205"/>
      <c r="BD2" s="205"/>
      <c r="BE2" s="205"/>
      <c r="BF2" s="205"/>
      <c r="BG2" s="205"/>
      <c r="BH2" s="205"/>
      <c r="BI2" s="205"/>
      <c r="BJ2" s="205"/>
      <c r="BK2" s="205"/>
      <c r="BL2" s="205"/>
      <c r="BM2" s="205"/>
      <c r="BN2" s="205"/>
      <c r="BO2" s="205"/>
      <c r="BP2" s="205"/>
      <c r="BQ2" s="205"/>
      <c r="BR2" s="205"/>
      <c r="BS2" s="206"/>
      <c r="BT2" s="213" t="s">
        <v>0</v>
      </c>
      <c r="BU2" s="214"/>
      <c r="BV2" s="214"/>
      <c r="BW2" s="214"/>
      <c r="BX2" s="214"/>
      <c r="BY2" s="148" t="s">
        <v>40</v>
      </c>
      <c r="BZ2" s="148"/>
      <c r="CA2" s="148"/>
      <c r="CB2" s="148"/>
      <c r="CC2" s="148"/>
      <c r="CD2" s="148"/>
      <c r="CE2" s="148"/>
      <c r="CF2" s="148"/>
      <c r="CG2" s="148"/>
      <c r="CH2" s="148"/>
      <c r="CI2" s="148"/>
      <c r="CJ2" s="148"/>
      <c r="CK2" s="148"/>
      <c r="CL2" s="148"/>
      <c r="CM2" s="148"/>
      <c r="CN2" s="3"/>
      <c r="CO2" s="4"/>
      <c r="CP2" s="4"/>
      <c r="CQ2" s="4"/>
      <c r="CR2" s="4"/>
      <c r="CS2" s="4"/>
      <c r="CT2" s="4"/>
      <c r="CU2" s="4"/>
      <c r="CV2" s="4"/>
      <c r="CW2" s="4"/>
      <c r="CX2" s="4"/>
      <c r="CY2" s="4"/>
      <c r="CZ2" s="4"/>
      <c r="DA2" s="4"/>
      <c r="DB2" s="4"/>
      <c r="DC2" s="4"/>
      <c r="DD2" s="5"/>
      <c r="DE2" s="4"/>
      <c r="DF2" s="108" t="s">
        <v>12</v>
      </c>
      <c r="DG2" s="108"/>
      <c r="DH2" s="108"/>
      <c r="DI2" s="108"/>
      <c r="DJ2" s="108"/>
      <c r="DK2" s="108"/>
      <c r="DL2" s="108"/>
      <c r="DM2" s="108"/>
      <c r="DN2" s="108"/>
      <c r="DO2" s="108"/>
      <c r="DP2" s="108"/>
      <c r="DQ2" s="108"/>
      <c r="DR2" s="108"/>
      <c r="DS2" s="108"/>
      <c r="DT2" s="108"/>
      <c r="DU2" s="108"/>
      <c r="DV2" s="108"/>
      <c r="DW2" s="108"/>
      <c r="DX2" s="108"/>
      <c r="DY2" s="108"/>
      <c r="DZ2" s="108"/>
      <c r="EA2" s="108"/>
      <c r="EB2" s="6"/>
    </row>
    <row r="3" spans="1:132" ht="12.75" customHeight="1" x14ac:dyDescent="0.15">
      <c r="A3" s="53">
        <v>2</v>
      </c>
      <c r="B3" s="207"/>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208"/>
      <c r="AI3" s="208"/>
      <c r="AJ3" s="208"/>
      <c r="AK3" s="208"/>
      <c r="AL3" s="208"/>
      <c r="AM3" s="208"/>
      <c r="AN3" s="208"/>
      <c r="AO3" s="208"/>
      <c r="AP3" s="208"/>
      <c r="AQ3" s="208"/>
      <c r="AR3" s="208"/>
      <c r="AS3" s="208"/>
      <c r="AT3" s="208"/>
      <c r="AU3" s="208"/>
      <c r="AV3" s="208"/>
      <c r="AW3" s="208"/>
      <c r="AX3" s="208"/>
      <c r="AY3" s="208"/>
      <c r="AZ3" s="208"/>
      <c r="BA3" s="208"/>
      <c r="BB3" s="208"/>
      <c r="BC3" s="208"/>
      <c r="BD3" s="208"/>
      <c r="BE3" s="208"/>
      <c r="BF3" s="208"/>
      <c r="BG3" s="208"/>
      <c r="BH3" s="208"/>
      <c r="BI3" s="208"/>
      <c r="BJ3" s="208"/>
      <c r="BK3" s="208"/>
      <c r="BL3" s="208"/>
      <c r="BM3" s="208"/>
      <c r="BN3" s="208"/>
      <c r="BO3" s="208"/>
      <c r="BP3" s="208"/>
      <c r="BQ3" s="208"/>
      <c r="BR3" s="208"/>
      <c r="BS3" s="209"/>
      <c r="BT3" s="198" t="s">
        <v>1</v>
      </c>
      <c r="BU3" s="199"/>
      <c r="BV3" s="199"/>
      <c r="BW3" s="199"/>
      <c r="BX3" s="199"/>
      <c r="BY3" s="123" t="s">
        <v>41</v>
      </c>
      <c r="BZ3" s="123"/>
      <c r="CA3" s="123"/>
      <c r="CB3" s="123"/>
      <c r="CC3" s="123"/>
      <c r="CD3" s="123"/>
      <c r="CE3" s="123"/>
      <c r="CF3" s="123"/>
      <c r="CG3" s="123"/>
      <c r="CH3" s="123"/>
      <c r="CI3" s="123"/>
      <c r="CJ3" s="123"/>
      <c r="CK3" s="123"/>
      <c r="CL3" s="123"/>
      <c r="CM3" s="123"/>
      <c r="CN3" s="10"/>
      <c r="CO3" s="11"/>
      <c r="CP3" s="11"/>
      <c r="CQ3" s="11"/>
      <c r="CR3" s="11"/>
      <c r="CS3" s="11"/>
      <c r="CT3" s="11"/>
      <c r="CU3" s="11"/>
      <c r="CV3" s="11"/>
      <c r="CW3" s="11"/>
      <c r="CX3" s="11"/>
      <c r="CY3" s="11"/>
      <c r="CZ3" s="11"/>
      <c r="DA3" s="11"/>
      <c r="DB3" s="11"/>
      <c r="DC3" s="11"/>
      <c r="DD3" s="12"/>
      <c r="DE3" s="11"/>
      <c r="DF3" s="215"/>
      <c r="DG3" s="215"/>
      <c r="DH3" s="215"/>
      <c r="DI3" s="215"/>
      <c r="DJ3" s="215"/>
      <c r="DK3" s="215"/>
      <c r="DL3" s="215"/>
      <c r="DM3" s="215"/>
      <c r="DN3" s="215"/>
      <c r="DO3" s="215"/>
      <c r="DP3" s="215"/>
      <c r="DQ3" s="215"/>
      <c r="DR3" s="215"/>
      <c r="DS3" s="215"/>
      <c r="DT3" s="215"/>
      <c r="DU3" s="215"/>
      <c r="DV3" s="215"/>
      <c r="DW3" s="215"/>
      <c r="DX3" s="215"/>
      <c r="DY3" s="215"/>
      <c r="DZ3" s="215"/>
      <c r="EA3" s="215"/>
      <c r="EB3" s="13"/>
    </row>
    <row r="4" spans="1:132" ht="12.75" customHeight="1" x14ac:dyDescent="0.15">
      <c r="A4" s="53">
        <v>3</v>
      </c>
      <c r="B4" s="207"/>
      <c r="C4" s="208"/>
      <c r="D4" s="208"/>
      <c r="E4" s="208"/>
      <c r="F4" s="208"/>
      <c r="G4" s="208"/>
      <c r="H4" s="208"/>
      <c r="I4" s="208"/>
      <c r="J4" s="208"/>
      <c r="K4" s="208"/>
      <c r="L4" s="208"/>
      <c r="M4" s="208"/>
      <c r="N4" s="208"/>
      <c r="O4" s="208"/>
      <c r="P4" s="208"/>
      <c r="Q4" s="208"/>
      <c r="R4" s="208"/>
      <c r="S4" s="208"/>
      <c r="T4" s="208"/>
      <c r="U4" s="208"/>
      <c r="V4" s="208"/>
      <c r="W4" s="208"/>
      <c r="X4" s="208"/>
      <c r="Y4" s="208"/>
      <c r="Z4" s="208"/>
      <c r="AA4" s="208"/>
      <c r="AB4" s="208"/>
      <c r="AC4" s="208"/>
      <c r="AD4" s="208"/>
      <c r="AE4" s="208"/>
      <c r="AF4" s="208"/>
      <c r="AG4" s="208"/>
      <c r="AH4" s="208"/>
      <c r="AI4" s="208"/>
      <c r="AJ4" s="208"/>
      <c r="AK4" s="208"/>
      <c r="AL4" s="208"/>
      <c r="AM4" s="208"/>
      <c r="AN4" s="208"/>
      <c r="AO4" s="208"/>
      <c r="AP4" s="208"/>
      <c r="AQ4" s="208"/>
      <c r="AR4" s="208"/>
      <c r="AS4" s="208"/>
      <c r="AT4" s="208"/>
      <c r="AU4" s="208"/>
      <c r="AV4" s="208"/>
      <c r="AW4" s="208"/>
      <c r="AX4" s="208"/>
      <c r="AY4" s="208"/>
      <c r="AZ4" s="208"/>
      <c r="BA4" s="208"/>
      <c r="BB4" s="208"/>
      <c r="BC4" s="208"/>
      <c r="BD4" s="208"/>
      <c r="BE4" s="208"/>
      <c r="BF4" s="208"/>
      <c r="BG4" s="208"/>
      <c r="BH4" s="208"/>
      <c r="BI4" s="208"/>
      <c r="BJ4" s="208"/>
      <c r="BK4" s="208"/>
      <c r="BL4" s="208"/>
      <c r="BM4" s="208"/>
      <c r="BN4" s="208"/>
      <c r="BO4" s="208"/>
      <c r="BP4" s="208"/>
      <c r="BQ4" s="208"/>
      <c r="BR4" s="208"/>
      <c r="BS4" s="209"/>
      <c r="BT4" s="198" t="s">
        <v>13</v>
      </c>
      <c r="BU4" s="199"/>
      <c r="BV4" s="199"/>
      <c r="BW4" s="199"/>
      <c r="BX4" s="199"/>
      <c r="BY4" s="123" t="s">
        <v>42</v>
      </c>
      <c r="BZ4" s="123"/>
      <c r="CA4" s="123"/>
      <c r="CB4" s="123"/>
      <c r="CC4" s="123"/>
      <c r="CD4" s="123"/>
      <c r="CE4" s="123"/>
      <c r="CF4" s="123"/>
      <c r="CG4" s="123"/>
      <c r="CH4" s="123"/>
      <c r="CI4" s="123"/>
      <c r="CJ4" s="123"/>
      <c r="CK4" s="123"/>
      <c r="CL4" s="123"/>
      <c r="CM4" s="123"/>
      <c r="CN4" s="10"/>
      <c r="CO4" s="11"/>
      <c r="CP4" s="11"/>
      <c r="CQ4" s="11"/>
      <c r="CR4" s="11"/>
      <c r="CS4" s="11"/>
      <c r="CT4" s="11"/>
      <c r="CU4" s="11"/>
      <c r="CV4" s="11"/>
      <c r="CW4" s="11"/>
      <c r="CX4" s="11"/>
      <c r="CY4" s="11"/>
      <c r="CZ4" s="11"/>
      <c r="DA4" s="11"/>
      <c r="DB4" s="11"/>
      <c r="DC4" s="11"/>
      <c r="DD4" s="12"/>
      <c r="DE4" s="9"/>
      <c r="DF4" s="216"/>
      <c r="DG4" s="216"/>
      <c r="DH4" s="216"/>
      <c r="DI4" s="216"/>
      <c r="DJ4" s="216"/>
      <c r="DK4" s="216"/>
      <c r="DL4" s="216"/>
      <c r="DM4" s="216"/>
      <c r="DN4" s="216"/>
      <c r="DO4" s="216"/>
      <c r="DP4" s="216"/>
      <c r="DQ4" s="216"/>
      <c r="DR4" s="216"/>
      <c r="DS4" s="216"/>
      <c r="DT4" s="216"/>
      <c r="DU4" s="216"/>
      <c r="DV4" s="216"/>
      <c r="DW4" s="216"/>
      <c r="DX4" s="216"/>
      <c r="DY4" s="216"/>
      <c r="DZ4" s="216"/>
      <c r="EA4" s="216"/>
      <c r="EB4" s="14"/>
    </row>
    <row r="5" spans="1:132" ht="12.75" customHeight="1" x14ac:dyDescent="0.15">
      <c r="A5" s="53">
        <v>4</v>
      </c>
      <c r="B5" s="207"/>
      <c r="C5" s="208"/>
      <c r="D5" s="208"/>
      <c r="E5" s="208"/>
      <c r="F5" s="208"/>
      <c r="G5" s="208"/>
      <c r="H5" s="208"/>
      <c r="I5" s="208"/>
      <c r="J5" s="208"/>
      <c r="K5" s="208"/>
      <c r="L5" s="208"/>
      <c r="M5" s="208"/>
      <c r="N5" s="208"/>
      <c r="O5" s="208"/>
      <c r="P5" s="208"/>
      <c r="Q5" s="208"/>
      <c r="R5" s="208"/>
      <c r="S5" s="208"/>
      <c r="T5" s="208"/>
      <c r="U5" s="208"/>
      <c r="V5" s="208"/>
      <c r="W5" s="208"/>
      <c r="X5" s="208"/>
      <c r="Y5" s="208"/>
      <c r="Z5" s="208"/>
      <c r="AA5" s="208"/>
      <c r="AB5" s="208"/>
      <c r="AC5" s="208"/>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9"/>
      <c r="BT5" s="198" t="s">
        <v>2</v>
      </c>
      <c r="BU5" s="199"/>
      <c r="BV5" s="199"/>
      <c r="BW5" s="199"/>
      <c r="BX5" s="199"/>
      <c r="BY5" s="123" t="s">
        <v>43</v>
      </c>
      <c r="BZ5" s="123"/>
      <c r="CA5" s="123"/>
      <c r="CB5" s="123"/>
      <c r="CC5" s="123"/>
      <c r="CD5" s="123"/>
      <c r="CE5" s="123"/>
      <c r="CF5" s="123"/>
      <c r="CG5" s="123"/>
      <c r="CH5" s="123"/>
      <c r="CI5" s="123"/>
      <c r="CJ5" s="123"/>
      <c r="CK5" s="123"/>
      <c r="CL5" s="123"/>
      <c r="CM5" s="123"/>
      <c r="CN5" s="10"/>
      <c r="CO5" s="11"/>
      <c r="CP5" s="11"/>
      <c r="CQ5" s="11"/>
      <c r="CR5" s="11"/>
      <c r="CS5" s="11"/>
      <c r="CT5" s="11"/>
      <c r="CU5" s="11"/>
      <c r="CV5" s="11"/>
      <c r="CW5" s="11"/>
      <c r="CX5" s="11"/>
      <c r="CY5" s="11"/>
      <c r="CZ5" s="11"/>
      <c r="DA5" s="11"/>
      <c r="DB5" s="11"/>
      <c r="DC5" s="11"/>
      <c r="DD5" s="12"/>
      <c r="DE5" s="9"/>
      <c r="DF5" s="2" t="s">
        <v>14</v>
      </c>
      <c r="DG5" s="2"/>
      <c r="DH5" s="2"/>
      <c r="DI5" s="2"/>
      <c r="DJ5" s="2"/>
      <c r="DK5" s="2"/>
      <c r="DL5" s="2"/>
      <c r="DM5" s="2"/>
      <c r="DN5" s="54"/>
      <c r="DO5" s="106">
        <v>0</v>
      </c>
      <c r="DP5" s="106"/>
      <c r="DQ5" s="106"/>
      <c r="DR5" s="106"/>
      <c r="DS5" s="106"/>
      <c r="DT5" s="106"/>
      <c r="DU5" s="106"/>
      <c r="DV5" s="106"/>
      <c r="DW5" s="106"/>
      <c r="DX5" s="106"/>
      <c r="DY5" s="106"/>
      <c r="DZ5" s="106"/>
      <c r="EA5" s="106"/>
      <c r="EB5" s="197"/>
    </row>
    <row r="6" spans="1:132" ht="12.75" customHeight="1" x14ac:dyDescent="0.15">
      <c r="A6" s="53">
        <v>5</v>
      </c>
      <c r="B6" s="207"/>
      <c r="C6" s="208"/>
      <c r="D6" s="208"/>
      <c r="E6" s="208"/>
      <c r="F6" s="208"/>
      <c r="G6" s="208"/>
      <c r="H6" s="208"/>
      <c r="I6" s="208"/>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9"/>
      <c r="BT6" s="198" t="s">
        <v>3</v>
      </c>
      <c r="BU6" s="199"/>
      <c r="BV6" s="199"/>
      <c r="BW6" s="199"/>
      <c r="BX6" s="199"/>
      <c r="BY6" s="123" t="e">
        <f>#REF!</f>
        <v>#REF!</v>
      </c>
      <c r="BZ6" s="123"/>
      <c r="CA6" s="123"/>
      <c r="CB6" s="123"/>
      <c r="CC6" s="123"/>
      <c r="CD6" s="123"/>
      <c r="CE6" s="123"/>
      <c r="CF6" s="123"/>
      <c r="CG6" s="123"/>
      <c r="CH6" s="123"/>
      <c r="CI6" s="123"/>
      <c r="CJ6" s="123"/>
      <c r="CK6" s="123"/>
      <c r="CL6" s="123"/>
      <c r="CM6" s="123"/>
      <c r="CN6" s="10"/>
      <c r="CO6" s="11"/>
      <c r="CP6" s="11"/>
      <c r="CQ6" s="11"/>
      <c r="CR6" s="11"/>
      <c r="CS6" s="11"/>
      <c r="CT6" s="11"/>
      <c r="CU6" s="11"/>
      <c r="CV6" s="11"/>
      <c r="CW6" s="11"/>
      <c r="CX6" s="11"/>
      <c r="CY6" s="11"/>
      <c r="CZ6" s="11"/>
      <c r="DA6" s="11"/>
      <c r="DB6" s="11"/>
      <c r="DC6" s="11"/>
      <c r="DD6" s="12"/>
      <c r="DE6" s="9"/>
      <c r="DF6" s="2" t="s">
        <v>15</v>
      </c>
      <c r="DG6" s="2"/>
      <c r="DH6" s="2"/>
      <c r="DI6" s="2"/>
      <c r="DJ6" s="2"/>
      <c r="DK6" s="2"/>
      <c r="DL6" s="2"/>
      <c r="DM6" s="2"/>
      <c r="DN6" s="2"/>
      <c r="DO6" s="106">
        <v>0</v>
      </c>
      <c r="DP6" s="106"/>
      <c r="DQ6" s="106"/>
      <c r="DR6" s="106"/>
      <c r="DS6" s="106"/>
      <c r="DT6" s="106"/>
      <c r="DU6" s="106"/>
      <c r="DV6" s="106"/>
      <c r="DW6" s="106"/>
      <c r="DX6" s="106"/>
      <c r="DY6" s="106"/>
      <c r="DZ6" s="106"/>
      <c r="EA6" s="106"/>
      <c r="EB6" s="197"/>
    </row>
    <row r="7" spans="1:132" ht="12.75" customHeight="1" x14ac:dyDescent="0.15">
      <c r="A7" s="52">
        <v>6</v>
      </c>
      <c r="B7" s="210"/>
      <c r="C7" s="211"/>
      <c r="D7" s="211"/>
      <c r="E7" s="211"/>
      <c r="F7" s="211"/>
      <c r="G7" s="211"/>
      <c r="H7" s="211"/>
      <c r="I7" s="211"/>
      <c r="J7" s="211"/>
      <c r="K7" s="211"/>
      <c r="L7" s="211"/>
      <c r="M7" s="211"/>
      <c r="N7" s="211"/>
      <c r="O7" s="211"/>
      <c r="P7" s="211"/>
      <c r="Q7" s="211"/>
      <c r="R7" s="211"/>
      <c r="S7" s="211"/>
      <c r="T7" s="211"/>
      <c r="U7" s="211"/>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A7" s="211"/>
      <c r="BB7" s="211"/>
      <c r="BC7" s="211"/>
      <c r="BD7" s="211"/>
      <c r="BE7" s="211"/>
      <c r="BF7" s="211"/>
      <c r="BG7" s="211"/>
      <c r="BH7" s="211"/>
      <c r="BI7" s="211"/>
      <c r="BJ7" s="211"/>
      <c r="BK7" s="211"/>
      <c r="BL7" s="211"/>
      <c r="BM7" s="211"/>
      <c r="BN7" s="211"/>
      <c r="BO7" s="211"/>
      <c r="BP7" s="211"/>
      <c r="BQ7" s="211"/>
      <c r="BR7" s="211"/>
      <c r="BS7" s="212"/>
      <c r="BT7" s="16"/>
      <c r="BU7" s="17"/>
      <c r="BV7" s="17"/>
      <c r="BW7" s="17"/>
      <c r="BX7" s="17"/>
      <c r="BY7" s="17"/>
      <c r="BZ7" s="17"/>
      <c r="CA7" s="17"/>
      <c r="CB7" s="17"/>
      <c r="CC7" s="17"/>
      <c r="CD7" s="17"/>
      <c r="CE7" s="17"/>
      <c r="CF7" s="17"/>
      <c r="CG7" s="17"/>
      <c r="CH7" s="17"/>
      <c r="CI7" s="17"/>
      <c r="CJ7" s="17"/>
      <c r="CK7" s="17"/>
      <c r="CL7" s="17"/>
      <c r="CM7" s="17"/>
      <c r="CN7" s="18"/>
      <c r="CO7" s="17"/>
      <c r="CP7" s="17"/>
      <c r="CQ7" s="19"/>
      <c r="CR7" s="19"/>
      <c r="CS7" s="19"/>
      <c r="CT7" s="17"/>
      <c r="CU7" s="17"/>
      <c r="CV7" s="17"/>
      <c r="CW7" s="17"/>
      <c r="CX7" s="17"/>
      <c r="CY7" s="17"/>
      <c r="CZ7" s="17"/>
      <c r="DA7" s="17"/>
      <c r="DB7" s="17"/>
      <c r="DC7" s="17"/>
      <c r="DD7" s="18"/>
      <c r="DE7" s="17"/>
      <c r="DF7" s="17" t="s">
        <v>18</v>
      </c>
      <c r="DG7" s="17"/>
      <c r="DH7" s="17"/>
      <c r="DI7" s="17"/>
      <c r="DJ7" s="17"/>
      <c r="DK7" s="17"/>
      <c r="DL7" s="58"/>
      <c r="DM7" s="58"/>
      <c r="DN7" s="58"/>
      <c r="DO7" s="223">
        <v>10</v>
      </c>
      <c r="DP7" s="223"/>
      <c r="DQ7" s="223"/>
      <c r="DR7" s="223"/>
      <c r="DS7" s="223"/>
      <c r="DT7" s="223"/>
      <c r="DU7" s="223"/>
      <c r="DV7" s="223"/>
      <c r="DW7" s="223"/>
      <c r="DX7" s="223"/>
      <c r="DY7" s="223"/>
      <c r="DZ7" s="223"/>
      <c r="EA7" s="223"/>
      <c r="EB7" s="224"/>
    </row>
    <row r="8" spans="1:132" ht="12.75" customHeight="1" x14ac:dyDescent="0.15">
      <c r="A8" s="53">
        <v>7</v>
      </c>
      <c r="B8" s="21"/>
      <c r="C8" s="201"/>
      <c r="D8" s="202"/>
      <c r="E8" s="202"/>
      <c r="F8" s="203"/>
      <c r="G8" s="147" t="s">
        <v>44</v>
      </c>
      <c r="H8" s="148"/>
      <c r="I8" s="148"/>
      <c r="J8" s="148"/>
      <c r="K8" s="148"/>
      <c r="L8" s="148"/>
      <c r="M8" s="148"/>
      <c r="N8" s="178"/>
      <c r="O8" s="149"/>
      <c r="P8" s="148"/>
      <c r="Q8" s="148"/>
      <c r="R8" s="148"/>
      <c r="S8" s="148"/>
      <c r="T8" s="148"/>
      <c r="U8" s="148"/>
      <c r="V8" s="148"/>
      <c r="W8" s="148"/>
      <c r="X8" s="178"/>
      <c r="Y8" s="149"/>
      <c r="Z8" s="148"/>
      <c r="AA8" s="148"/>
      <c r="AB8" s="148"/>
      <c r="AC8" s="148"/>
      <c r="AD8" s="148"/>
      <c r="AE8" s="148"/>
      <c r="AF8" s="148"/>
      <c r="AG8" s="148"/>
      <c r="AH8" s="178"/>
      <c r="AI8" s="149"/>
      <c r="AJ8" s="148"/>
      <c r="AK8" s="148"/>
      <c r="AL8" s="148"/>
      <c r="AM8" s="148"/>
      <c r="AN8" s="148"/>
      <c r="AO8" s="148"/>
      <c r="AP8" s="148"/>
      <c r="AQ8" s="148"/>
      <c r="AR8" s="178"/>
      <c r="AS8" s="149"/>
      <c r="AT8" s="148"/>
      <c r="AU8" s="148"/>
      <c r="AV8" s="148"/>
      <c r="AW8" s="148"/>
      <c r="AX8" s="148"/>
      <c r="AY8" s="148"/>
      <c r="AZ8" s="148"/>
      <c r="BA8" s="148"/>
      <c r="BB8" s="178"/>
      <c r="BC8" s="149"/>
      <c r="BD8" s="148"/>
      <c r="BE8" s="148"/>
      <c r="BF8" s="148"/>
      <c r="BG8" s="148"/>
      <c r="BH8" s="148"/>
      <c r="BI8" s="148"/>
      <c r="BJ8" s="148"/>
      <c r="BK8" s="148"/>
      <c r="BL8" s="178"/>
      <c r="BM8" s="149"/>
      <c r="BN8" s="148"/>
      <c r="BO8" s="148"/>
      <c r="BP8" s="148"/>
      <c r="BQ8" s="148"/>
      <c r="BR8" s="148"/>
      <c r="BS8" s="148"/>
      <c r="BT8" s="148"/>
      <c r="BU8" s="148"/>
      <c r="BV8" s="178"/>
      <c r="BW8" s="149"/>
      <c r="BX8" s="148"/>
      <c r="BY8" s="148"/>
      <c r="BZ8" s="148"/>
      <c r="CA8" s="148"/>
      <c r="CB8" s="148"/>
      <c r="CC8" s="148"/>
      <c r="CD8" s="148"/>
      <c r="CE8" s="148"/>
      <c r="CF8" s="178"/>
      <c r="CG8" s="149"/>
      <c r="CH8" s="148"/>
      <c r="CI8" s="148"/>
      <c r="CJ8" s="148"/>
      <c r="CK8" s="148"/>
      <c r="CL8" s="148"/>
      <c r="CM8" s="148"/>
      <c r="CN8" s="148"/>
      <c r="CO8" s="148"/>
      <c r="CP8" s="178"/>
      <c r="CQ8" s="149"/>
      <c r="CR8" s="148"/>
      <c r="CS8" s="148"/>
      <c r="CT8" s="148"/>
      <c r="CU8" s="148"/>
      <c r="CV8" s="148"/>
      <c r="CW8" s="148"/>
      <c r="CX8" s="148"/>
      <c r="CY8" s="148"/>
      <c r="CZ8" s="178"/>
      <c r="DA8" s="149"/>
      <c r="DB8" s="148"/>
      <c r="DC8" s="148"/>
      <c r="DD8" s="148"/>
      <c r="DE8" s="148"/>
      <c r="DF8" s="148"/>
      <c r="DG8" s="148"/>
      <c r="DH8" s="148"/>
      <c r="DI8" s="148"/>
      <c r="DJ8" s="150"/>
      <c r="DK8" s="65"/>
      <c r="DL8" s="217" t="s">
        <v>57</v>
      </c>
      <c r="DM8" s="218"/>
      <c r="DN8" s="218"/>
      <c r="DO8" s="218"/>
      <c r="DP8" s="218"/>
      <c r="DQ8" s="218"/>
      <c r="DR8" s="218"/>
      <c r="DS8" s="218"/>
      <c r="DT8" s="218"/>
      <c r="DU8" s="218"/>
      <c r="DV8" s="218"/>
      <c r="DW8" s="218"/>
      <c r="DX8" s="218"/>
      <c r="DY8" s="218"/>
      <c r="DZ8" s="218"/>
      <c r="EA8" s="218"/>
      <c r="EB8" s="219"/>
    </row>
    <row r="9" spans="1:132" ht="12.75" customHeight="1" x14ac:dyDescent="0.15">
      <c r="A9" s="53">
        <v>8</v>
      </c>
      <c r="B9" s="23"/>
      <c r="C9" s="145"/>
      <c r="D9" s="146"/>
      <c r="E9" s="146"/>
      <c r="F9" s="157"/>
      <c r="G9" s="238" t="s">
        <v>45</v>
      </c>
      <c r="H9" s="138"/>
      <c r="I9" s="138"/>
      <c r="J9" s="138"/>
      <c r="K9" s="138"/>
      <c r="L9" s="138"/>
      <c r="M9" s="138"/>
      <c r="N9" s="239"/>
      <c r="O9" s="126"/>
      <c r="P9" s="123"/>
      <c r="Q9" s="123"/>
      <c r="R9" s="123"/>
      <c r="S9" s="123"/>
      <c r="T9" s="123"/>
      <c r="U9" s="123"/>
      <c r="V9" s="123"/>
      <c r="W9" s="123"/>
      <c r="X9" s="144"/>
      <c r="Y9" s="126"/>
      <c r="Z9" s="123"/>
      <c r="AA9" s="123"/>
      <c r="AB9" s="123"/>
      <c r="AC9" s="123"/>
      <c r="AD9" s="123"/>
      <c r="AE9" s="123"/>
      <c r="AF9" s="123"/>
      <c r="AG9" s="123"/>
      <c r="AH9" s="144"/>
      <c r="AI9" s="126"/>
      <c r="AJ9" s="123"/>
      <c r="AK9" s="123"/>
      <c r="AL9" s="123"/>
      <c r="AM9" s="123"/>
      <c r="AN9" s="123"/>
      <c r="AO9" s="123"/>
      <c r="AP9" s="123"/>
      <c r="AQ9" s="123"/>
      <c r="AR9" s="144"/>
      <c r="AS9" s="126"/>
      <c r="AT9" s="123"/>
      <c r="AU9" s="123"/>
      <c r="AV9" s="123"/>
      <c r="AW9" s="123"/>
      <c r="AX9" s="123"/>
      <c r="AY9" s="123"/>
      <c r="AZ9" s="123"/>
      <c r="BA9" s="123"/>
      <c r="BB9" s="144"/>
      <c r="BC9" s="126"/>
      <c r="BD9" s="123"/>
      <c r="BE9" s="123"/>
      <c r="BF9" s="123"/>
      <c r="BG9" s="123"/>
      <c r="BH9" s="123"/>
      <c r="BI9" s="123"/>
      <c r="BJ9" s="123"/>
      <c r="BK9" s="123"/>
      <c r="BL9" s="144"/>
      <c r="BM9" s="126"/>
      <c r="BN9" s="123"/>
      <c r="BO9" s="123"/>
      <c r="BP9" s="123"/>
      <c r="BQ9" s="123"/>
      <c r="BR9" s="123"/>
      <c r="BS9" s="123"/>
      <c r="BT9" s="123"/>
      <c r="BU9" s="123"/>
      <c r="BV9" s="144"/>
      <c r="BW9" s="126"/>
      <c r="BX9" s="123"/>
      <c r="BY9" s="123"/>
      <c r="BZ9" s="123"/>
      <c r="CA9" s="123"/>
      <c r="CB9" s="123"/>
      <c r="CC9" s="123"/>
      <c r="CD9" s="123"/>
      <c r="CE9" s="123"/>
      <c r="CF9" s="144"/>
      <c r="CG9" s="126"/>
      <c r="CH9" s="123"/>
      <c r="CI9" s="123"/>
      <c r="CJ9" s="123"/>
      <c r="CK9" s="123"/>
      <c r="CL9" s="123"/>
      <c r="CM9" s="123"/>
      <c r="CN9" s="123"/>
      <c r="CO9" s="123"/>
      <c r="CP9" s="144"/>
      <c r="CQ9" s="126"/>
      <c r="CR9" s="123"/>
      <c r="CS9" s="123"/>
      <c r="CT9" s="123"/>
      <c r="CU9" s="123"/>
      <c r="CV9" s="123"/>
      <c r="CW9" s="123"/>
      <c r="CX9" s="123"/>
      <c r="CY9" s="123"/>
      <c r="CZ9" s="144"/>
      <c r="DA9" s="126"/>
      <c r="DB9" s="123"/>
      <c r="DC9" s="123"/>
      <c r="DD9" s="123"/>
      <c r="DE9" s="123"/>
      <c r="DF9" s="123"/>
      <c r="DG9" s="123"/>
      <c r="DH9" s="123"/>
      <c r="DI9" s="123"/>
      <c r="DJ9" s="124"/>
      <c r="DK9" s="66"/>
      <c r="DL9" s="147" t="s">
        <v>52</v>
      </c>
      <c r="DM9" s="148"/>
      <c r="DN9" s="148"/>
      <c r="DO9" s="148"/>
      <c r="DP9" s="148"/>
      <c r="DQ9" s="148"/>
      <c r="DR9" s="148"/>
      <c r="DS9" s="148"/>
      <c r="DT9" s="148"/>
      <c r="DU9" s="148"/>
      <c r="DV9" s="148"/>
      <c r="DW9" s="148"/>
      <c r="DX9" s="149" t="s">
        <v>58</v>
      </c>
      <c r="DY9" s="148"/>
      <c r="DZ9" s="148"/>
      <c r="EA9" s="148"/>
      <c r="EB9" s="150"/>
    </row>
    <row r="10" spans="1:132" ht="12.75" customHeight="1" x14ac:dyDescent="0.15">
      <c r="A10" s="53">
        <v>9</v>
      </c>
      <c r="B10" s="23"/>
      <c r="C10" s="145"/>
      <c r="D10" s="146"/>
      <c r="E10" s="146"/>
      <c r="F10" s="157"/>
      <c r="G10" s="122" t="s">
        <v>19</v>
      </c>
      <c r="H10" s="123"/>
      <c r="I10" s="123"/>
      <c r="J10" s="123"/>
      <c r="K10" s="144"/>
      <c r="L10" s="126" t="s">
        <v>49</v>
      </c>
      <c r="M10" s="123"/>
      <c r="N10" s="144"/>
      <c r="O10" s="126" t="s">
        <v>48</v>
      </c>
      <c r="P10" s="123"/>
      <c r="Q10" s="123"/>
      <c r="R10" s="123"/>
      <c r="S10" s="144"/>
      <c r="T10" s="126" t="s">
        <v>20</v>
      </c>
      <c r="U10" s="123"/>
      <c r="V10" s="123"/>
      <c r="W10" s="123"/>
      <c r="X10" s="144"/>
      <c r="Y10" s="126" t="s">
        <v>48</v>
      </c>
      <c r="Z10" s="123"/>
      <c r="AA10" s="123"/>
      <c r="AB10" s="123"/>
      <c r="AC10" s="144"/>
      <c r="AD10" s="126" t="s">
        <v>20</v>
      </c>
      <c r="AE10" s="123"/>
      <c r="AF10" s="123"/>
      <c r="AG10" s="123"/>
      <c r="AH10" s="144"/>
      <c r="AI10" s="126" t="s">
        <v>48</v>
      </c>
      <c r="AJ10" s="123"/>
      <c r="AK10" s="123"/>
      <c r="AL10" s="123"/>
      <c r="AM10" s="144"/>
      <c r="AN10" s="126" t="s">
        <v>20</v>
      </c>
      <c r="AO10" s="123"/>
      <c r="AP10" s="123"/>
      <c r="AQ10" s="123"/>
      <c r="AR10" s="144"/>
      <c r="AS10" s="126" t="s">
        <v>48</v>
      </c>
      <c r="AT10" s="123"/>
      <c r="AU10" s="123"/>
      <c r="AV10" s="123"/>
      <c r="AW10" s="144"/>
      <c r="AX10" s="126" t="s">
        <v>20</v>
      </c>
      <c r="AY10" s="123"/>
      <c r="AZ10" s="123"/>
      <c r="BA10" s="123"/>
      <c r="BB10" s="144"/>
      <c r="BC10" s="126" t="s">
        <v>48</v>
      </c>
      <c r="BD10" s="123"/>
      <c r="BE10" s="123"/>
      <c r="BF10" s="123"/>
      <c r="BG10" s="144"/>
      <c r="BH10" s="126" t="s">
        <v>20</v>
      </c>
      <c r="BI10" s="123"/>
      <c r="BJ10" s="123"/>
      <c r="BK10" s="123"/>
      <c r="BL10" s="144"/>
      <c r="BM10" s="126" t="s">
        <v>48</v>
      </c>
      <c r="BN10" s="123"/>
      <c r="BO10" s="123"/>
      <c r="BP10" s="123"/>
      <c r="BQ10" s="144"/>
      <c r="BR10" s="126" t="s">
        <v>20</v>
      </c>
      <c r="BS10" s="123"/>
      <c r="BT10" s="123"/>
      <c r="BU10" s="123"/>
      <c r="BV10" s="144"/>
      <c r="BW10" s="126" t="s">
        <v>48</v>
      </c>
      <c r="BX10" s="123"/>
      <c r="BY10" s="123"/>
      <c r="BZ10" s="123"/>
      <c r="CA10" s="144"/>
      <c r="CB10" s="126" t="s">
        <v>20</v>
      </c>
      <c r="CC10" s="123"/>
      <c r="CD10" s="123"/>
      <c r="CE10" s="123"/>
      <c r="CF10" s="144"/>
      <c r="CG10" s="126" t="s">
        <v>48</v>
      </c>
      <c r="CH10" s="123"/>
      <c r="CI10" s="123"/>
      <c r="CJ10" s="123"/>
      <c r="CK10" s="144"/>
      <c r="CL10" s="126" t="s">
        <v>20</v>
      </c>
      <c r="CM10" s="123"/>
      <c r="CN10" s="123"/>
      <c r="CO10" s="123"/>
      <c r="CP10" s="144"/>
      <c r="CQ10" s="126" t="s">
        <v>48</v>
      </c>
      <c r="CR10" s="123"/>
      <c r="CS10" s="123"/>
      <c r="CT10" s="123"/>
      <c r="CU10" s="144"/>
      <c r="CV10" s="126" t="s">
        <v>20</v>
      </c>
      <c r="CW10" s="123"/>
      <c r="CX10" s="123"/>
      <c r="CY10" s="123"/>
      <c r="CZ10" s="144"/>
      <c r="DA10" s="126" t="s">
        <v>48</v>
      </c>
      <c r="DB10" s="123"/>
      <c r="DC10" s="123"/>
      <c r="DD10" s="123"/>
      <c r="DE10" s="144"/>
      <c r="DF10" s="126" t="s">
        <v>20</v>
      </c>
      <c r="DG10" s="123"/>
      <c r="DH10" s="123"/>
      <c r="DI10" s="123"/>
      <c r="DJ10" s="124"/>
      <c r="DK10" s="66"/>
      <c r="DL10" s="122" t="s">
        <v>88</v>
      </c>
      <c r="DM10" s="123"/>
      <c r="DN10" s="123"/>
      <c r="DO10" s="123"/>
      <c r="DP10" s="123"/>
      <c r="DQ10" s="123"/>
      <c r="DR10" s="144"/>
      <c r="DS10" s="143">
        <v>7.0000000000000007E-2</v>
      </c>
      <c r="DT10" s="123"/>
      <c r="DU10" s="123"/>
      <c r="DV10" s="123"/>
      <c r="DW10" s="144"/>
      <c r="DX10" s="123"/>
      <c r="DY10" s="123"/>
      <c r="DZ10" s="123"/>
      <c r="EA10" s="123"/>
      <c r="EB10" s="124"/>
    </row>
    <row r="11" spans="1:132" ht="12.75" customHeight="1" x14ac:dyDescent="0.15">
      <c r="A11" s="53">
        <v>10</v>
      </c>
      <c r="B11" s="23"/>
      <c r="C11" s="191"/>
      <c r="D11" s="192"/>
      <c r="E11" s="192"/>
      <c r="F11" s="193"/>
      <c r="G11" s="122" t="s">
        <v>21</v>
      </c>
      <c r="H11" s="123"/>
      <c r="I11" s="123"/>
      <c r="J11" s="123"/>
      <c r="K11" s="144"/>
      <c r="L11" s="126"/>
      <c r="M11" s="123"/>
      <c r="N11" s="144"/>
      <c r="O11" s="143"/>
      <c r="P11" s="141"/>
      <c r="Q11" s="141"/>
      <c r="R11" s="141"/>
      <c r="S11" s="142"/>
      <c r="T11" s="143"/>
      <c r="U11" s="141"/>
      <c r="V11" s="141"/>
      <c r="W11" s="141"/>
      <c r="X11" s="142"/>
      <c r="Y11" s="143"/>
      <c r="Z11" s="141"/>
      <c r="AA11" s="141"/>
      <c r="AB11" s="141"/>
      <c r="AC11" s="142"/>
      <c r="AD11" s="143"/>
      <c r="AE11" s="141"/>
      <c r="AF11" s="141"/>
      <c r="AG11" s="141"/>
      <c r="AH11" s="142"/>
      <c r="AI11" s="143"/>
      <c r="AJ11" s="141"/>
      <c r="AK11" s="141"/>
      <c r="AL11" s="141"/>
      <c r="AM11" s="142"/>
      <c r="AN11" s="143"/>
      <c r="AO11" s="141"/>
      <c r="AP11" s="141"/>
      <c r="AQ11" s="141"/>
      <c r="AR11" s="142"/>
      <c r="AS11" s="143"/>
      <c r="AT11" s="141"/>
      <c r="AU11" s="141"/>
      <c r="AV11" s="141"/>
      <c r="AW11" s="142"/>
      <c r="AX11" s="233"/>
      <c r="AY11" s="240"/>
      <c r="AZ11" s="240"/>
      <c r="BA11" s="240"/>
      <c r="BB11" s="241"/>
      <c r="BC11" s="143"/>
      <c r="BD11" s="141"/>
      <c r="BE11" s="141"/>
      <c r="BF11" s="141"/>
      <c r="BG11" s="142"/>
      <c r="BH11" s="143"/>
      <c r="BI11" s="141"/>
      <c r="BJ11" s="141"/>
      <c r="BK11" s="141"/>
      <c r="BL11" s="142"/>
      <c r="BM11" s="143"/>
      <c r="BN11" s="141"/>
      <c r="BO11" s="141"/>
      <c r="BP11" s="141"/>
      <c r="BQ11" s="142"/>
      <c r="BR11" s="143"/>
      <c r="BS11" s="141"/>
      <c r="BT11" s="141"/>
      <c r="BU11" s="141"/>
      <c r="BV11" s="142"/>
      <c r="BW11" s="143"/>
      <c r="BX11" s="141"/>
      <c r="BY11" s="141"/>
      <c r="BZ11" s="141"/>
      <c r="CA11" s="142"/>
      <c r="CB11" s="143"/>
      <c r="CC11" s="141"/>
      <c r="CD11" s="141"/>
      <c r="CE11" s="141"/>
      <c r="CF11" s="142"/>
      <c r="CG11" s="143"/>
      <c r="CH11" s="141"/>
      <c r="CI11" s="141"/>
      <c r="CJ11" s="141"/>
      <c r="CK11" s="142"/>
      <c r="CL11" s="143"/>
      <c r="CM11" s="141"/>
      <c r="CN11" s="141"/>
      <c r="CO11" s="141"/>
      <c r="CP11" s="142"/>
      <c r="CQ11" s="143"/>
      <c r="CR11" s="141"/>
      <c r="CS11" s="141"/>
      <c r="CT11" s="141"/>
      <c r="CU11" s="142"/>
      <c r="CV11" s="143"/>
      <c r="CW11" s="141"/>
      <c r="CX11" s="141"/>
      <c r="CY11" s="141"/>
      <c r="CZ11" s="142"/>
      <c r="DA11" s="143"/>
      <c r="DB11" s="141"/>
      <c r="DC11" s="141"/>
      <c r="DD11" s="141"/>
      <c r="DE11" s="142"/>
      <c r="DF11" s="143"/>
      <c r="DG11" s="141"/>
      <c r="DH11" s="141"/>
      <c r="DI11" s="141"/>
      <c r="DJ11" s="162"/>
      <c r="DK11" s="66"/>
      <c r="DL11" s="122" t="s">
        <v>83</v>
      </c>
      <c r="DM11" s="123"/>
      <c r="DN11" s="123"/>
      <c r="DO11" s="123"/>
      <c r="DP11" s="123"/>
      <c r="DQ11" s="123"/>
      <c r="DR11" s="144"/>
      <c r="DS11" s="126" t="e">
        <f>#REF!</f>
        <v>#REF!</v>
      </c>
      <c r="DT11" s="123"/>
      <c r="DU11" s="123"/>
      <c r="DV11" s="123"/>
      <c r="DW11" s="144"/>
      <c r="DX11" s="123" t="s">
        <v>84</v>
      </c>
      <c r="DY11" s="123"/>
      <c r="DZ11" s="123"/>
      <c r="EA11" s="123"/>
      <c r="EB11" s="124"/>
    </row>
    <row r="12" spans="1:132" ht="12.75" customHeight="1" x14ac:dyDescent="0.15">
      <c r="A12" s="52">
        <v>11</v>
      </c>
      <c r="B12" s="23"/>
      <c r="C12" s="191"/>
      <c r="D12" s="192"/>
      <c r="E12" s="192"/>
      <c r="F12" s="193"/>
      <c r="G12" s="122" t="s">
        <v>22</v>
      </c>
      <c r="H12" s="123"/>
      <c r="I12" s="123"/>
      <c r="J12" s="123"/>
      <c r="K12" s="144"/>
      <c r="L12" s="126"/>
      <c r="M12" s="123"/>
      <c r="N12" s="144"/>
      <c r="O12" s="143"/>
      <c r="P12" s="141"/>
      <c r="Q12" s="141"/>
      <c r="R12" s="141"/>
      <c r="S12" s="142"/>
      <c r="T12" s="143"/>
      <c r="U12" s="141"/>
      <c r="V12" s="141"/>
      <c r="W12" s="141"/>
      <c r="X12" s="142"/>
      <c r="Y12" s="143"/>
      <c r="Z12" s="141"/>
      <c r="AA12" s="141"/>
      <c r="AB12" s="141"/>
      <c r="AC12" s="142"/>
      <c r="AD12" s="143"/>
      <c r="AE12" s="141"/>
      <c r="AF12" s="141"/>
      <c r="AG12" s="141"/>
      <c r="AH12" s="142"/>
      <c r="AI12" s="143"/>
      <c r="AJ12" s="141"/>
      <c r="AK12" s="141"/>
      <c r="AL12" s="141"/>
      <c r="AM12" s="142"/>
      <c r="AN12" s="143"/>
      <c r="AO12" s="141"/>
      <c r="AP12" s="141"/>
      <c r="AQ12" s="141"/>
      <c r="AR12" s="142"/>
      <c r="AS12" s="143"/>
      <c r="AT12" s="141"/>
      <c r="AU12" s="141"/>
      <c r="AV12" s="141"/>
      <c r="AW12" s="142"/>
      <c r="AX12" s="143"/>
      <c r="AY12" s="141"/>
      <c r="AZ12" s="141"/>
      <c r="BA12" s="141"/>
      <c r="BB12" s="142"/>
      <c r="BC12" s="143"/>
      <c r="BD12" s="141"/>
      <c r="BE12" s="141"/>
      <c r="BF12" s="141"/>
      <c r="BG12" s="142"/>
      <c r="BH12" s="143"/>
      <c r="BI12" s="141"/>
      <c r="BJ12" s="141"/>
      <c r="BK12" s="141"/>
      <c r="BL12" s="142"/>
      <c r="BM12" s="143"/>
      <c r="BN12" s="141"/>
      <c r="BO12" s="141"/>
      <c r="BP12" s="141"/>
      <c r="BQ12" s="142"/>
      <c r="BR12" s="143"/>
      <c r="BS12" s="141"/>
      <c r="BT12" s="141"/>
      <c r="BU12" s="141"/>
      <c r="BV12" s="142"/>
      <c r="BW12" s="143"/>
      <c r="BX12" s="141"/>
      <c r="BY12" s="141"/>
      <c r="BZ12" s="141"/>
      <c r="CA12" s="142"/>
      <c r="CB12" s="143"/>
      <c r="CC12" s="141"/>
      <c r="CD12" s="141"/>
      <c r="CE12" s="141"/>
      <c r="CF12" s="142"/>
      <c r="CG12" s="143"/>
      <c r="CH12" s="141"/>
      <c r="CI12" s="141"/>
      <c r="CJ12" s="141"/>
      <c r="CK12" s="142"/>
      <c r="CL12" s="143"/>
      <c r="CM12" s="141"/>
      <c r="CN12" s="141"/>
      <c r="CO12" s="141"/>
      <c r="CP12" s="142"/>
      <c r="CQ12" s="143"/>
      <c r="CR12" s="141"/>
      <c r="CS12" s="141"/>
      <c r="CT12" s="141"/>
      <c r="CU12" s="142"/>
      <c r="CV12" s="143"/>
      <c r="CW12" s="141"/>
      <c r="CX12" s="141"/>
      <c r="CY12" s="141"/>
      <c r="CZ12" s="142"/>
      <c r="DA12" s="143"/>
      <c r="DB12" s="141"/>
      <c r="DC12" s="141"/>
      <c r="DD12" s="141"/>
      <c r="DE12" s="142"/>
      <c r="DF12" s="143"/>
      <c r="DG12" s="141"/>
      <c r="DH12" s="141"/>
      <c r="DI12" s="141"/>
      <c r="DJ12" s="162"/>
      <c r="DK12" s="66"/>
      <c r="DL12" s="122" t="s">
        <v>85</v>
      </c>
      <c r="DM12" s="123"/>
      <c r="DN12" s="123"/>
      <c r="DO12" s="123"/>
      <c r="DP12" s="123"/>
      <c r="DQ12" s="123"/>
      <c r="DR12" s="144"/>
      <c r="DS12" s="143" t="e">
        <f>#REF!</f>
        <v>#REF!</v>
      </c>
      <c r="DT12" s="123"/>
      <c r="DU12" s="123"/>
      <c r="DV12" s="123"/>
      <c r="DW12" s="144"/>
      <c r="DX12" s="123" t="s">
        <v>20</v>
      </c>
      <c r="DY12" s="123"/>
      <c r="DZ12" s="123"/>
      <c r="EA12" s="123"/>
      <c r="EB12" s="124"/>
    </row>
    <row r="13" spans="1:132" ht="12.75" customHeight="1" x14ac:dyDescent="0.15">
      <c r="A13" s="53">
        <v>12</v>
      </c>
      <c r="B13" s="23"/>
      <c r="C13" s="145"/>
      <c r="D13" s="146"/>
      <c r="E13" s="146"/>
      <c r="F13" s="157"/>
      <c r="G13" s="122" t="s">
        <v>23</v>
      </c>
      <c r="H13" s="123"/>
      <c r="I13" s="123"/>
      <c r="J13" s="123"/>
      <c r="K13" s="144"/>
      <c r="L13" s="151"/>
      <c r="M13" s="152"/>
      <c r="N13" s="153"/>
      <c r="O13" s="143"/>
      <c r="P13" s="141"/>
      <c r="Q13" s="141"/>
      <c r="R13" s="141"/>
      <c r="S13" s="142"/>
      <c r="T13" s="143"/>
      <c r="U13" s="141"/>
      <c r="V13" s="141"/>
      <c r="W13" s="141"/>
      <c r="X13" s="142"/>
      <c r="Y13" s="143"/>
      <c r="Z13" s="141"/>
      <c r="AA13" s="141"/>
      <c r="AB13" s="141"/>
      <c r="AC13" s="142"/>
      <c r="AD13" s="143"/>
      <c r="AE13" s="141"/>
      <c r="AF13" s="141"/>
      <c r="AG13" s="141"/>
      <c r="AH13" s="142"/>
      <c r="AI13" s="143"/>
      <c r="AJ13" s="141"/>
      <c r="AK13" s="141"/>
      <c r="AL13" s="141"/>
      <c r="AM13" s="142"/>
      <c r="AN13" s="143"/>
      <c r="AO13" s="141"/>
      <c r="AP13" s="141"/>
      <c r="AQ13" s="141"/>
      <c r="AR13" s="142"/>
      <c r="AS13" s="143"/>
      <c r="AT13" s="141"/>
      <c r="AU13" s="141"/>
      <c r="AV13" s="141"/>
      <c r="AW13" s="142"/>
      <c r="AX13" s="143"/>
      <c r="AY13" s="141"/>
      <c r="AZ13" s="141"/>
      <c r="BA13" s="141"/>
      <c r="BB13" s="142"/>
      <c r="BC13" s="143"/>
      <c r="BD13" s="141"/>
      <c r="BE13" s="141"/>
      <c r="BF13" s="141"/>
      <c r="BG13" s="142"/>
      <c r="BH13" s="143"/>
      <c r="BI13" s="141"/>
      <c r="BJ13" s="141"/>
      <c r="BK13" s="141"/>
      <c r="BL13" s="142"/>
      <c r="BM13" s="143"/>
      <c r="BN13" s="141"/>
      <c r="BO13" s="141"/>
      <c r="BP13" s="141"/>
      <c r="BQ13" s="142"/>
      <c r="BR13" s="143"/>
      <c r="BS13" s="141"/>
      <c r="BT13" s="141"/>
      <c r="BU13" s="141"/>
      <c r="BV13" s="142"/>
      <c r="BW13" s="143"/>
      <c r="BX13" s="141"/>
      <c r="BY13" s="141"/>
      <c r="BZ13" s="141"/>
      <c r="CA13" s="142"/>
      <c r="CB13" s="143"/>
      <c r="CC13" s="141"/>
      <c r="CD13" s="141"/>
      <c r="CE13" s="141"/>
      <c r="CF13" s="142"/>
      <c r="CG13" s="143"/>
      <c r="CH13" s="141"/>
      <c r="CI13" s="141"/>
      <c r="CJ13" s="141"/>
      <c r="CK13" s="142"/>
      <c r="CL13" s="143"/>
      <c r="CM13" s="141"/>
      <c r="CN13" s="141"/>
      <c r="CO13" s="141"/>
      <c r="CP13" s="142"/>
      <c r="CQ13" s="143"/>
      <c r="CR13" s="141"/>
      <c r="CS13" s="141"/>
      <c r="CT13" s="141"/>
      <c r="CU13" s="142"/>
      <c r="CV13" s="143"/>
      <c r="CW13" s="141"/>
      <c r="CX13" s="141"/>
      <c r="CY13" s="141"/>
      <c r="CZ13" s="142"/>
      <c r="DA13" s="143"/>
      <c r="DB13" s="141"/>
      <c r="DC13" s="141"/>
      <c r="DD13" s="141"/>
      <c r="DE13" s="142"/>
      <c r="DF13" s="143"/>
      <c r="DG13" s="141"/>
      <c r="DH13" s="141"/>
      <c r="DI13" s="141"/>
      <c r="DJ13" s="162"/>
      <c r="DK13" s="66"/>
      <c r="DL13" s="122" t="s">
        <v>86</v>
      </c>
      <c r="DM13" s="123"/>
      <c r="DN13" s="123"/>
      <c r="DO13" s="123"/>
      <c r="DP13" s="123"/>
      <c r="DQ13" s="123"/>
      <c r="DR13" s="144"/>
      <c r="DS13" s="126" t="e">
        <f>DS12/DS11</f>
        <v>#REF!</v>
      </c>
      <c r="DT13" s="123"/>
      <c r="DU13" s="123"/>
      <c r="DV13" s="123"/>
      <c r="DW13" s="144"/>
      <c r="DX13" s="123" t="s">
        <v>79</v>
      </c>
      <c r="DY13" s="123"/>
      <c r="DZ13" s="123"/>
      <c r="EA13" s="123"/>
      <c r="EB13" s="124"/>
    </row>
    <row r="14" spans="1:132" ht="12.75" customHeight="1" x14ac:dyDescent="0.15">
      <c r="A14" s="53">
        <v>13</v>
      </c>
      <c r="B14" s="23"/>
      <c r="C14" s="145"/>
      <c r="D14" s="146"/>
      <c r="E14" s="146"/>
      <c r="F14" s="157"/>
      <c r="G14" s="122" t="s">
        <v>24</v>
      </c>
      <c r="H14" s="123"/>
      <c r="I14" s="123"/>
      <c r="J14" s="123"/>
      <c r="K14" s="144"/>
      <c r="L14" s="126"/>
      <c r="M14" s="123"/>
      <c r="N14" s="144"/>
      <c r="O14" s="143"/>
      <c r="P14" s="141"/>
      <c r="Q14" s="141"/>
      <c r="R14" s="141"/>
      <c r="S14" s="142"/>
      <c r="T14" s="143"/>
      <c r="U14" s="141"/>
      <c r="V14" s="141"/>
      <c r="W14" s="141"/>
      <c r="X14" s="142"/>
      <c r="Y14" s="143"/>
      <c r="Z14" s="141"/>
      <c r="AA14" s="141"/>
      <c r="AB14" s="141"/>
      <c r="AC14" s="142"/>
      <c r="AD14" s="143"/>
      <c r="AE14" s="141"/>
      <c r="AF14" s="141"/>
      <c r="AG14" s="141"/>
      <c r="AH14" s="142"/>
      <c r="AI14" s="143"/>
      <c r="AJ14" s="141"/>
      <c r="AK14" s="141"/>
      <c r="AL14" s="141"/>
      <c r="AM14" s="142"/>
      <c r="AN14" s="143"/>
      <c r="AO14" s="141"/>
      <c r="AP14" s="141"/>
      <c r="AQ14" s="141"/>
      <c r="AR14" s="142"/>
      <c r="AS14" s="143"/>
      <c r="AT14" s="141"/>
      <c r="AU14" s="141"/>
      <c r="AV14" s="141"/>
      <c r="AW14" s="142"/>
      <c r="AX14" s="143"/>
      <c r="AY14" s="141"/>
      <c r="AZ14" s="141"/>
      <c r="BA14" s="141"/>
      <c r="BB14" s="142"/>
      <c r="BC14" s="143"/>
      <c r="BD14" s="141"/>
      <c r="BE14" s="141"/>
      <c r="BF14" s="141"/>
      <c r="BG14" s="142"/>
      <c r="BH14" s="143"/>
      <c r="BI14" s="141"/>
      <c r="BJ14" s="141"/>
      <c r="BK14" s="141"/>
      <c r="BL14" s="142"/>
      <c r="BM14" s="143"/>
      <c r="BN14" s="141"/>
      <c r="BO14" s="141"/>
      <c r="BP14" s="141"/>
      <c r="BQ14" s="142"/>
      <c r="BR14" s="143"/>
      <c r="BS14" s="141"/>
      <c r="BT14" s="141"/>
      <c r="BU14" s="141"/>
      <c r="BV14" s="142"/>
      <c r="BW14" s="143"/>
      <c r="BX14" s="141"/>
      <c r="BY14" s="141"/>
      <c r="BZ14" s="141"/>
      <c r="CA14" s="142"/>
      <c r="CB14" s="143"/>
      <c r="CC14" s="141"/>
      <c r="CD14" s="141"/>
      <c r="CE14" s="141"/>
      <c r="CF14" s="142"/>
      <c r="CG14" s="143"/>
      <c r="CH14" s="141"/>
      <c r="CI14" s="141"/>
      <c r="CJ14" s="141"/>
      <c r="CK14" s="142"/>
      <c r="CL14" s="143"/>
      <c r="CM14" s="141"/>
      <c r="CN14" s="141"/>
      <c r="CO14" s="141"/>
      <c r="CP14" s="142"/>
      <c r="CQ14" s="143"/>
      <c r="CR14" s="141"/>
      <c r="CS14" s="141"/>
      <c r="CT14" s="141"/>
      <c r="CU14" s="142"/>
      <c r="CV14" s="143"/>
      <c r="CW14" s="141"/>
      <c r="CX14" s="141"/>
      <c r="CY14" s="141"/>
      <c r="CZ14" s="142"/>
      <c r="DA14" s="143"/>
      <c r="DB14" s="141"/>
      <c r="DC14" s="141"/>
      <c r="DD14" s="141"/>
      <c r="DE14" s="142"/>
      <c r="DF14" s="143"/>
      <c r="DG14" s="141"/>
      <c r="DH14" s="141"/>
      <c r="DI14" s="141"/>
      <c r="DJ14" s="162"/>
      <c r="DK14" s="66"/>
      <c r="DL14" s="122" t="s">
        <v>86</v>
      </c>
      <c r="DM14" s="123"/>
      <c r="DN14" s="123"/>
      <c r="DO14" s="123"/>
      <c r="DP14" s="123"/>
      <c r="DQ14" s="123"/>
      <c r="DR14" s="144"/>
      <c r="DS14" s="126" t="e">
        <f>DS13*1000</f>
        <v>#REF!</v>
      </c>
      <c r="DT14" s="123"/>
      <c r="DU14" s="123"/>
      <c r="DV14" s="123"/>
      <c r="DW14" s="144"/>
      <c r="DX14" s="123" t="s">
        <v>87</v>
      </c>
      <c r="DY14" s="123"/>
      <c r="DZ14" s="123"/>
      <c r="EA14" s="123"/>
      <c r="EB14" s="124"/>
    </row>
    <row r="15" spans="1:132" ht="12.75" customHeight="1" x14ac:dyDescent="0.15">
      <c r="A15" s="53">
        <v>14</v>
      </c>
      <c r="B15" s="23"/>
      <c r="C15" s="145"/>
      <c r="D15" s="146"/>
      <c r="E15" s="146"/>
      <c r="F15" s="157"/>
      <c r="G15" s="122" t="s">
        <v>25</v>
      </c>
      <c r="H15" s="123"/>
      <c r="I15" s="123"/>
      <c r="J15" s="123"/>
      <c r="K15" s="144"/>
      <c r="L15" s="126"/>
      <c r="M15" s="123"/>
      <c r="N15" s="144"/>
      <c r="O15" s="143"/>
      <c r="P15" s="141"/>
      <c r="Q15" s="141"/>
      <c r="R15" s="141"/>
      <c r="S15" s="142"/>
      <c r="T15" s="143"/>
      <c r="U15" s="141"/>
      <c r="V15" s="141"/>
      <c r="W15" s="141"/>
      <c r="X15" s="142"/>
      <c r="Y15" s="143"/>
      <c r="Z15" s="141"/>
      <c r="AA15" s="141"/>
      <c r="AB15" s="141"/>
      <c r="AC15" s="142"/>
      <c r="AD15" s="143"/>
      <c r="AE15" s="141"/>
      <c r="AF15" s="141"/>
      <c r="AG15" s="141"/>
      <c r="AH15" s="142"/>
      <c r="AI15" s="143"/>
      <c r="AJ15" s="141"/>
      <c r="AK15" s="141"/>
      <c r="AL15" s="141"/>
      <c r="AM15" s="142"/>
      <c r="AN15" s="143"/>
      <c r="AO15" s="141"/>
      <c r="AP15" s="141"/>
      <c r="AQ15" s="141"/>
      <c r="AR15" s="142"/>
      <c r="AS15" s="143"/>
      <c r="AT15" s="141"/>
      <c r="AU15" s="141"/>
      <c r="AV15" s="141"/>
      <c r="AW15" s="142"/>
      <c r="AX15" s="143"/>
      <c r="AY15" s="141"/>
      <c r="AZ15" s="141"/>
      <c r="BA15" s="141"/>
      <c r="BB15" s="142"/>
      <c r="BC15" s="143"/>
      <c r="BD15" s="141"/>
      <c r="BE15" s="141"/>
      <c r="BF15" s="141"/>
      <c r="BG15" s="142"/>
      <c r="BH15" s="143"/>
      <c r="BI15" s="141"/>
      <c r="BJ15" s="141"/>
      <c r="BK15" s="141"/>
      <c r="BL15" s="142"/>
      <c r="BM15" s="143"/>
      <c r="BN15" s="141"/>
      <c r="BO15" s="141"/>
      <c r="BP15" s="141"/>
      <c r="BQ15" s="142"/>
      <c r="BR15" s="143"/>
      <c r="BS15" s="141"/>
      <c r="BT15" s="141"/>
      <c r="BU15" s="141"/>
      <c r="BV15" s="142"/>
      <c r="BW15" s="143"/>
      <c r="BX15" s="141"/>
      <c r="BY15" s="141"/>
      <c r="BZ15" s="141"/>
      <c r="CA15" s="142"/>
      <c r="CB15" s="143"/>
      <c r="CC15" s="141"/>
      <c r="CD15" s="141"/>
      <c r="CE15" s="141"/>
      <c r="CF15" s="142"/>
      <c r="CG15" s="143"/>
      <c r="CH15" s="141"/>
      <c r="CI15" s="141"/>
      <c r="CJ15" s="141"/>
      <c r="CK15" s="142"/>
      <c r="CL15" s="143"/>
      <c r="CM15" s="141"/>
      <c r="CN15" s="141"/>
      <c r="CO15" s="141"/>
      <c r="CP15" s="142"/>
      <c r="CQ15" s="143"/>
      <c r="CR15" s="141"/>
      <c r="CS15" s="141"/>
      <c r="CT15" s="141"/>
      <c r="CU15" s="142"/>
      <c r="CV15" s="143"/>
      <c r="CW15" s="141"/>
      <c r="CX15" s="141"/>
      <c r="CY15" s="141"/>
      <c r="CZ15" s="142"/>
      <c r="DA15" s="143"/>
      <c r="DB15" s="141"/>
      <c r="DC15" s="141"/>
      <c r="DD15" s="141"/>
      <c r="DE15" s="142"/>
      <c r="DF15" s="143"/>
      <c r="DG15" s="141"/>
      <c r="DH15" s="141"/>
      <c r="DI15" s="141"/>
      <c r="DJ15" s="162"/>
      <c r="DK15" s="66"/>
      <c r="DL15" s="122" t="s">
        <v>89</v>
      </c>
      <c r="DM15" s="123"/>
      <c r="DN15" s="123"/>
      <c r="DO15" s="123"/>
      <c r="DP15" s="123"/>
      <c r="DQ15" s="123"/>
      <c r="DR15" s="144"/>
      <c r="DS15" s="126" t="e">
        <f>DS14*12400</f>
        <v>#REF!</v>
      </c>
      <c r="DT15" s="123"/>
      <c r="DU15" s="123"/>
      <c r="DV15" s="123"/>
      <c r="DW15" s="144"/>
      <c r="DX15" s="123" t="s">
        <v>90</v>
      </c>
      <c r="DY15" s="123"/>
      <c r="DZ15" s="123"/>
      <c r="EA15" s="123"/>
      <c r="EB15" s="124"/>
    </row>
    <row r="16" spans="1:132" x14ac:dyDescent="0.15">
      <c r="A16" s="53">
        <v>15</v>
      </c>
      <c r="B16" s="23"/>
      <c r="C16" s="145"/>
      <c r="D16" s="146"/>
      <c r="E16" s="146"/>
      <c r="F16" s="157"/>
      <c r="G16" s="122" t="s">
        <v>26</v>
      </c>
      <c r="H16" s="123"/>
      <c r="I16" s="123"/>
      <c r="J16" s="123"/>
      <c r="K16" s="144"/>
      <c r="L16" s="126"/>
      <c r="M16" s="123"/>
      <c r="N16" s="144"/>
      <c r="O16" s="143"/>
      <c r="P16" s="141"/>
      <c r="Q16" s="141"/>
      <c r="R16" s="141"/>
      <c r="S16" s="142"/>
      <c r="T16" s="143"/>
      <c r="U16" s="141"/>
      <c r="V16" s="141"/>
      <c r="W16" s="141"/>
      <c r="X16" s="142"/>
      <c r="Y16" s="143"/>
      <c r="Z16" s="141"/>
      <c r="AA16" s="141"/>
      <c r="AB16" s="141"/>
      <c r="AC16" s="142"/>
      <c r="AD16" s="143"/>
      <c r="AE16" s="141"/>
      <c r="AF16" s="141"/>
      <c r="AG16" s="141"/>
      <c r="AH16" s="142"/>
      <c r="AI16" s="143"/>
      <c r="AJ16" s="141"/>
      <c r="AK16" s="141"/>
      <c r="AL16" s="141"/>
      <c r="AM16" s="142"/>
      <c r="AN16" s="143"/>
      <c r="AO16" s="141"/>
      <c r="AP16" s="141"/>
      <c r="AQ16" s="141"/>
      <c r="AR16" s="142"/>
      <c r="AS16" s="143"/>
      <c r="AT16" s="141"/>
      <c r="AU16" s="141"/>
      <c r="AV16" s="141"/>
      <c r="AW16" s="142"/>
      <c r="AX16" s="143"/>
      <c r="AY16" s="141"/>
      <c r="AZ16" s="141"/>
      <c r="BA16" s="141"/>
      <c r="BB16" s="142"/>
      <c r="BC16" s="143"/>
      <c r="BD16" s="141"/>
      <c r="BE16" s="141"/>
      <c r="BF16" s="141"/>
      <c r="BG16" s="142"/>
      <c r="BH16" s="143"/>
      <c r="BI16" s="141"/>
      <c r="BJ16" s="141"/>
      <c r="BK16" s="141"/>
      <c r="BL16" s="142"/>
      <c r="BM16" s="143"/>
      <c r="BN16" s="141"/>
      <c r="BO16" s="141"/>
      <c r="BP16" s="141"/>
      <c r="BQ16" s="142"/>
      <c r="BR16" s="143"/>
      <c r="BS16" s="141"/>
      <c r="BT16" s="141"/>
      <c r="BU16" s="141"/>
      <c r="BV16" s="142"/>
      <c r="BW16" s="143"/>
      <c r="BX16" s="141"/>
      <c r="BY16" s="141"/>
      <c r="BZ16" s="141"/>
      <c r="CA16" s="142"/>
      <c r="CB16" s="143"/>
      <c r="CC16" s="141"/>
      <c r="CD16" s="141"/>
      <c r="CE16" s="141"/>
      <c r="CF16" s="142"/>
      <c r="CG16" s="143"/>
      <c r="CH16" s="141"/>
      <c r="CI16" s="141"/>
      <c r="CJ16" s="141"/>
      <c r="CK16" s="142"/>
      <c r="CL16" s="143"/>
      <c r="CM16" s="141"/>
      <c r="CN16" s="141"/>
      <c r="CO16" s="141"/>
      <c r="CP16" s="142"/>
      <c r="CQ16" s="143"/>
      <c r="CR16" s="141"/>
      <c r="CS16" s="141"/>
      <c r="CT16" s="141"/>
      <c r="CU16" s="142"/>
      <c r="CV16" s="143"/>
      <c r="CW16" s="141"/>
      <c r="CX16" s="141"/>
      <c r="CY16" s="141"/>
      <c r="CZ16" s="142"/>
      <c r="DA16" s="143"/>
      <c r="DB16" s="141"/>
      <c r="DC16" s="141"/>
      <c r="DD16" s="141"/>
      <c r="DE16" s="142"/>
      <c r="DF16" s="143"/>
      <c r="DG16" s="141"/>
      <c r="DH16" s="141"/>
      <c r="DI16" s="141"/>
      <c r="DJ16" s="162"/>
      <c r="DK16" s="66"/>
      <c r="DL16" s="122"/>
      <c r="DM16" s="123"/>
      <c r="DN16" s="123"/>
      <c r="DO16" s="123"/>
      <c r="DP16" s="123"/>
      <c r="DQ16" s="123"/>
      <c r="DR16" s="144"/>
      <c r="DS16" s="126"/>
      <c r="DT16" s="123"/>
      <c r="DU16" s="123"/>
      <c r="DV16" s="123"/>
      <c r="DW16" s="144"/>
      <c r="DX16" s="123"/>
      <c r="DY16" s="123"/>
      <c r="DZ16" s="123"/>
      <c r="EA16" s="123"/>
      <c r="EB16" s="124"/>
    </row>
    <row r="17" spans="1:139" x14ac:dyDescent="0.15">
      <c r="A17" s="52">
        <v>16</v>
      </c>
      <c r="B17" s="23"/>
      <c r="C17" s="145"/>
      <c r="D17" s="146"/>
      <c r="E17" s="146"/>
      <c r="F17" s="157"/>
      <c r="G17" s="122" t="s">
        <v>27</v>
      </c>
      <c r="H17" s="123"/>
      <c r="I17" s="123"/>
      <c r="J17" s="123"/>
      <c r="K17" s="144"/>
      <c r="L17" s="126"/>
      <c r="M17" s="123"/>
      <c r="N17" s="144"/>
      <c r="O17" s="143"/>
      <c r="P17" s="141"/>
      <c r="Q17" s="141"/>
      <c r="R17" s="141"/>
      <c r="S17" s="142"/>
      <c r="T17" s="143"/>
      <c r="U17" s="141"/>
      <c r="V17" s="141"/>
      <c r="W17" s="141"/>
      <c r="X17" s="142"/>
      <c r="Y17" s="143"/>
      <c r="Z17" s="141"/>
      <c r="AA17" s="141"/>
      <c r="AB17" s="141"/>
      <c r="AC17" s="142"/>
      <c r="AD17" s="143"/>
      <c r="AE17" s="141"/>
      <c r="AF17" s="141"/>
      <c r="AG17" s="141"/>
      <c r="AH17" s="142"/>
      <c r="AI17" s="143"/>
      <c r="AJ17" s="141"/>
      <c r="AK17" s="141"/>
      <c r="AL17" s="141"/>
      <c r="AM17" s="142"/>
      <c r="AN17" s="143"/>
      <c r="AO17" s="141"/>
      <c r="AP17" s="141"/>
      <c r="AQ17" s="141"/>
      <c r="AR17" s="142"/>
      <c r="AS17" s="143"/>
      <c r="AT17" s="141"/>
      <c r="AU17" s="141"/>
      <c r="AV17" s="141"/>
      <c r="AW17" s="142"/>
      <c r="AX17" s="143"/>
      <c r="AY17" s="141"/>
      <c r="AZ17" s="141"/>
      <c r="BA17" s="141"/>
      <c r="BB17" s="142"/>
      <c r="BC17" s="143"/>
      <c r="BD17" s="141"/>
      <c r="BE17" s="141"/>
      <c r="BF17" s="141"/>
      <c r="BG17" s="142"/>
      <c r="BH17" s="143"/>
      <c r="BI17" s="141"/>
      <c r="BJ17" s="141"/>
      <c r="BK17" s="141"/>
      <c r="BL17" s="142"/>
      <c r="BM17" s="143"/>
      <c r="BN17" s="141"/>
      <c r="BO17" s="141"/>
      <c r="BP17" s="141"/>
      <c r="BQ17" s="142"/>
      <c r="BR17" s="143"/>
      <c r="BS17" s="141"/>
      <c r="BT17" s="141"/>
      <c r="BU17" s="141"/>
      <c r="BV17" s="142"/>
      <c r="BW17" s="143"/>
      <c r="BX17" s="141"/>
      <c r="BY17" s="141"/>
      <c r="BZ17" s="141"/>
      <c r="CA17" s="142"/>
      <c r="CB17" s="143"/>
      <c r="CC17" s="141"/>
      <c r="CD17" s="141"/>
      <c r="CE17" s="141"/>
      <c r="CF17" s="142"/>
      <c r="CG17" s="143"/>
      <c r="CH17" s="141"/>
      <c r="CI17" s="141"/>
      <c r="CJ17" s="141"/>
      <c r="CK17" s="142"/>
      <c r="CL17" s="143"/>
      <c r="CM17" s="141"/>
      <c r="CN17" s="141"/>
      <c r="CO17" s="141"/>
      <c r="CP17" s="142"/>
      <c r="CQ17" s="143"/>
      <c r="CR17" s="141"/>
      <c r="CS17" s="141"/>
      <c r="CT17" s="141"/>
      <c r="CU17" s="142"/>
      <c r="CV17" s="143"/>
      <c r="CW17" s="141"/>
      <c r="CX17" s="141"/>
      <c r="CY17" s="141"/>
      <c r="CZ17" s="142"/>
      <c r="DA17" s="143"/>
      <c r="DB17" s="141"/>
      <c r="DC17" s="141"/>
      <c r="DD17" s="141"/>
      <c r="DE17" s="142"/>
      <c r="DF17" s="143"/>
      <c r="DG17" s="141"/>
      <c r="DH17" s="141"/>
      <c r="DI17" s="141"/>
      <c r="DJ17" s="162"/>
      <c r="DK17" s="66"/>
      <c r="DL17" s="122"/>
      <c r="DM17" s="123"/>
      <c r="DN17" s="123"/>
      <c r="DO17" s="123"/>
      <c r="DP17" s="123"/>
      <c r="DQ17" s="123"/>
      <c r="DR17" s="144"/>
      <c r="DS17" s="126"/>
      <c r="DT17" s="123"/>
      <c r="DU17" s="123"/>
      <c r="DV17" s="123"/>
      <c r="DW17" s="144"/>
      <c r="DX17" s="123"/>
      <c r="DY17" s="123"/>
      <c r="DZ17" s="123"/>
      <c r="EA17" s="123"/>
      <c r="EB17" s="124"/>
    </row>
    <row r="18" spans="1:139" x14ac:dyDescent="0.15">
      <c r="A18" s="53">
        <v>17</v>
      </c>
      <c r="B18" s="23"/>
      <c r="C18" s="47"/>
      <c r="D18" s="48"/>
      <c r="E18" s="48"/>
      <c r="F18" s="49"/>
      <c r="G18" s="122" t="s">
        <v>34</v>
      </c>
      <c r="H18" s="123"/>
      <c r="I18" s="123"/>
      <c r="J18" s="123"/>
      <c r="K18" s="144"/>
      <c r="L18" s="126"/>
      <c r="M18" s="123"/>
      <c r="N18" s="144"/>
      <c r="O18" s="143"/>
      <c r="P18" s="141"/>
      <c r="Q18" s="141"/>
      <c r="R18" s="141"/>
      <c r="S18" s="142"/>
      <c r="T18" s="143"/>
      <c r="U18" s="141"/>
      <c r="V18" s="141"/>
      <c r="W18" s="141"/>
      <c r="X18" s="142"/>
      <c r="Y18" s="143"/>
      <c r="Z18" s="141"/>
      <c r="AA18" s="141"/>
      <c r="AB18" s="141"/>
      <c r="AC18" s="142"/>
      <c r="AD18" s="143"/>
      <c r="AE18" s="141"/>
      <c r="AF18" s="141"/>
      <c r="AG18" s="141"/>
      <c r="AH18" s="142"/>
      <c r="AI18" s="143"/>
      <c r="AJ18" s="141"/>
      <c r="AK18" s="141"/>
      <c r="AL18" s="141"/>
      <c r="AM18" s="142"/>
      <c r="AN18" s="143"/>
      <c r="AO18" s="141"/>
      <c r="AP18" s="141"/>
      <c r="AQ18" s="141"/>
      <c r="AR18" s="142"/>
      <c r="AS18" s="143"/>
      <c r="AT18" s="141"/>
      <c r="AU18" s="141"/>
      <c r="AV18" s="141"/>
      <c r="AW18" s="142"/>
      <c r="AX18" s="143"/>
      <c r="AY18" s="141"/>
      <c r="AZ18" s="141"/>
      <c r="BA18" s="141"/>
      <c r="BB18" s="142"/>
      <c r="BC18" s="143"/>
      <c r="BD18" s="141"/>
      <c r="BE18" s="141"/>
      <c r="BF18" s="141"/>
      <c r="BG18" s="142"/>
      <c r="BH18" s="143"/>
      <c r="BI18" s="141"/>
      <c r="BJ18" s="141"/>
      <c r="BK18" s="141"/>
      <c r="BL18" s="142"/>
      <c r="BM18" s="143"/>
      <c r="BN18" s="141"/>
      <c r="BO18" s="141"/>
      <c r="BP18" s="141"/>
      <c r="BQ18" s="142"/>
      <c r="BR18" s="143"/>
      <c r="BS18" s="141"/>
      <c r="BT18" s="141"/>
      <c r="BU18" s="141"/>
      <c r="BV18" s="142"/>
      <c r="BW18" s="143"/>
      <c r="BX18" s="141"/>
      <c r="BY18" s="141"/>
      <c r="BZ18" s="141"/>
      <c r="CA18" s="142"/>
      <c r="CB18" s="143"/>
      <c r="CC18" s="141"/>
      <c r="CD18" s="141"/>
      <c r="CE18" s="141"/>
      <c r="CF18" s="142"/>
      <c r="CG18" s="143"/>
      <c r="CH18" s="141"/>
      <c r="CI18" s="141"/>
      <c r="CJ18" s="141"/>
      <c r="CK18" s="142"/>
      <c r="CL18" s="143"/>
      <c r="CM18" s="141"/>
      <c r="CN18" s="141"/>
      <c r="CO18" s="141"/>
      <c r="CP18" s="142"/>
      <c r="CQ18" s="143"/>
      <c r="CR18" s="141"/>
      <c r="CS18" s="141"/>
      <c r="CT18" s="141"/>
      <c r="CU18" s="142"/>
      <c r="CV18" s="143"/>
      <c r="CW18" s="141"/>
      <c r="CX18" s="141"/>
      <c r="CY18" s="141"/>
      <c r="CZ18" s="142"/>
      <c r="DA18" s="143"/>
      <c r="DB18" s="141"/>
      <c r="DC18" s="141"/>
      <c r="DD18" s="141"/>
      <c r="DE18" s="142"/>
      <c r="DF18" s="143"/>
      <c r="DG18" s="141"/>
      <c r="DH18" s="141"/>
      <c r="DI18" s="141"/>
      <c r="DJ18" s="162"/>
      <c r="DK18" s="66"/>
      <c r="DL18" s="122"/>
      <c r="DM18" s="123"/>
      <c r="DN18" s="123"/>
      <c r="DO18" s="123"/>
      <c r="DP18" s="123"/>
      <c r="DQ18" s="123"/>
      <c r="DR18" s="144"/>
      <c r="DS18" s="126"/>
      <c r="DT18" s="123"/>
      <c r="DU18" s="123"/>
      <c r="DV18" s="123"/>
      <c r="DW18" s="144"/>
      <c r="DX18" s="123"/>
      <c r="DY18" s="123"/>
      <c r="DZ18" s="123"/>
      <c r="EA18" s="123"/>
      <c r="EB18" s="124"/>
    </row>
    <row r="19" spans="1:139" x14ac:dyDescent="0.15">
      <c r="A19" s="53">
        <v>18</v>
      </c>
      <c r="B19" s="23"/>
      <c r="C19" s="47"/>
      <c r="D19" s="48"/>
      <c r="E19" s="48"/>
      <c r="F19" s="49"/>
      <c r="G19" s="122" t="s">
        <v>35</v>
      </c>
      <c r="H19" s="123"/>
      <c r="I19" s="123"/>
      <c r="J19" s="123"/>
      <c r="K19" s="144"/>
      <c r="L19" s="126"/>
      <c r="M19" s="123"/>
      <c r="N19" s="144"/>
      <c r="O19" s="143"/>
      <c r="P19" s="141"/>
      <c r="Q19" s="141"/>
      <c r="R19" s="141"/>
      <c r="S19" s="142"/>
      <c r="T19" s="143"/>
      <c r="U19" s="141"/>
      <c r="V19" s="141"/>
      <c r="W19" s="141"/>
      <c r="X19" s="142"/>
      <c r="Y19" s="143"/>
      <c r="Z19" s="141"/>
      <c r="AA19" s="141"/>
      <c r="AB19" s="141"/>
      <c r="AC19" s="142"/>
      <c r="AD19" s="143"/>
      <c r="AE19" s="141"/>
      <c r="AF19" s="141"/>
      <c r="AG19" s="141"/>
      <c r="AH19" s="142"/>
      <c r="AI19" s="143"/>
      <c r="AJ19" s="141"/>
      <c r="AK19" s="141"/>
      <c r="AL19" s="141"/>
      <c r="AM19" s="142"/>
      <c r="AN19" s="143"/>
      <c r="AO19" s="141"/>
      <c r="AP19" s="141"/>
      <c r="AQ19" s="141"/>
      <c r="AR19" s="142"/>
      <c r="AS19" s="143"/>
      <c r="AT19" s="141"/>
      <c r="AU19" s="141"/>
      <c r="AV19" s="141"/>
      <c r="AW19" s="142"/>
      <c r="AX19" s="143"/>
      <c r="AY19" s="141"/>
      <c r="AZ19" s="141"/>
      <c r="BA19" s="141"/>
      <c r="BB19" s="142"/>
      <c r="BC19" s="143"/>
      <c r="BD19" s="141"/>
      <c r="BE19" s="141"/>
      <c r="BF19" s="141"/>
      <c r="BG19" s="142"/>
      <c r="BH19" s="143"/>
      <c r="BI19" s="141"/>
      <c r="BJ19" s="141"/>
      <c r="BK19" s="141"/>
      <c r="BL19" s="142"/>
      <c r="BM19" s="143"/>
      <c r="BN19" s="141"/>
      <c r="BO19" s="141"/>
      <c r="BP19" s="141"/>
      <c r="BQ19" s="142"/>
      <c r="BR19" s="143"/>
      <c r="BS19" s="141"/>
      <c r="BT19" s="141"/>
      <c r="BU19" s="141"/>
      <c r="BV19" s="142"/>
      <c r="BW19" s="143"/>
      <c r="BX19" s="141"/>
      <c r="BY19" s="141"/>
      <c r="BZ19" s="141"/>
      <c r="CA19" s="142"/>
      <c r="CB19" s="143"/>
      <c r="CC19" s="141"/>
      <c r="CD19" s="141"/>
      <c r="CE19" s="141"/>
      <c r="CF19" s="142"/>
      <c r="CG19" s="143"/>
      <c r="CH19" s="141"/>
      <c r="CI19" s="141"/>
      <c r="CJ19" s="141"/>
      <c r="CK19" s="142"/>
      <c r="CL19" s="143"/>
      <c r="CM19" s="141"/>
      <c r="CN19" s="141"/>
      <c r="CO19" s="141"/>
      <c r="CP19" s="142"/>
      <c r="CQ19" s="143"/>
      <c r="CR19" s="141"/>
      <c r="CS19" s="141"/>
      <c r="CT19" s="141"/>
      <c r="CU19" s="142"/>
      <c r="CV19" s="143"/>
      <c r="CW19" s="141"/>
      <c r="CX19" s="141"/>
      <c r="CY19" s="141"/>
      <c r="CZ19" s="142"/>
      <c r="DA19" s="143"/>
      <c r="DB19" s="141"/>
      <c r="DC19" s="141"/>
      <c r="DD19" s="141"/>
      <c r="DE19" s="142"/>
      <c r="DF19" s="143"/>
      <c r="DG19" s="141"/>
      <c r="DH19" s="141"/>
      <c r="DI19" s="141"/>
      <c r="DJ19" s="162"/>
      <c r="DK19" s="66"/>
      <c r="DL19" s="122"/>
      <c r="DM19" s="123"/>
      <c r="DN19" s="123"/>
      <c r="DO19" s="123"/>
      <c r="DP19" s="123"/>
      <c r="DQ19" s="123"/>
      <c r="DR19" s="144"/>
      <c r="DS19" s="126"/>
      <c r="DT19" s="123"/>
      <c r="DU19" s="123"/>
      <c r="DV19" s="123"/>
      <c r="DW19" s="144"/>
      <c r="DX19" s="123"/>
      <c r="DY19" s="123"/>
      <c r="DZ19" s="123"/>
      <c r="EA19" s="123"/>
      <c r="EB19" s="124"/>
    </row>
    <row r="20" spans="1:139" x14ac:dyDescent="0.15">
      <c r="A20" s="53">
        <v>19</v>
      </c>
      <c r="B20" s="23"/>
      <c r="C20" s="47"/>
      <c r="D20" s="48"/>
      <c r="E20" s="48"/>
      <c r="F20" s="49"/>
      <c r="G20" s="122" t="s">
        <v>36</v>
      </c>
      <c r="H20" s="123"/>
      <c r="I20" s="123"/>
      <c r="J20" s="123"/>
      <c r="K20" s="144"/>
      <c r="L20" s="126"/>
      <c r="M20" s="123"/>
      <c r="N20" s="144"/>
      <c r="O20" s="143"/>
      <c r="P20" s="141"/>
      <c r="Q20" s="141"/>
      <c r="R20" s="141"/>
      <c r="S20" s="142"/>
      <c r="T20" s="143"/>
      <c r="U20" s="141"/>
      <c r="V20" s="141"/>
      <c r="W20" s="141"/>
      <c r="X20" s="142"/>
      <c r="Y20" s="143"/>
      <c r="Z20" s="141"/>
      <c r="AA20" s="141"/>
      <c r="AB20" s="141"/>
      <c r="AC20" s="142"/>
      <c r="AD20" s="143"/>
      <c r="AE20" s="141"/>
      <c r="AF20" s="141"/>
      <c r="AG20" s="141"/>
      <c r="AH20" s="142"/>
      <c r="AI20" s="143"/>
      <c r="AJ20" s="141"/>
      <c r="AK20" s="141"/>
      <c r="AL20" s="141"/>
      <c r="AM20" s="142"/>
      <c r="AN20" s="143"/>
      <c r="AO20" s="141"/>
      <c r="AP20" s="141"/>
      <c r="AQ20" s="141"/>
      <c r="AR20" s="142"/>
      <c r="AS20" s="143"/>
      <c r="AT20" s="141"/>
      <c r="AU20" s="141"/>
      <c r="AV20" s="141"/>
      <c r="AW20" s="142"/>
      <c r="AX20" s="143"/>
      <c r="AY20" s="141"/>
      <c r="AZ20" s="141"/>
      <c r="BA20" s="141"/>
      <c r="BB20" s="142"/>
      <c r="BC20" s="143"/>
      <c r="BD20" s="141"/>
      <c r="BE20" s="141"/>
      <c r="BF20" s="141"/>
      <c r="BG20" s="142"/>
      <c r="BH20" s="143"/>
      <c r="BI20" s="141"/>
      <c r="BJ20" s="141"/>
      <c r="BK20" s="141"/>
      <c r="BL20" s="142"/>
      <c r="BM20" s="143"/>
      <c r="BN20" s="141"/>
      <c r="BO20" s="141"/>
      <c r="BP20" s="141"/>
      <c r="BQ20" s="142"/>
      <c r="BR20" s="143"/>
      <c r="BS20" s="141"/>
      <c r="BT20" s="141"/>
      <c r="BU20" s="141"/>
      <c r="BV20" s="142"/>
      <c r="BW20" s="143"/>
      <c r="BX20" s="141"/>
      <c r="BY20" s="141"/>
      <c r="BZ20" s="141"/>
      <c r="CA20" s="142"/>
      <c r="CB20" s="143"/>
      <c r="CC20" s="141"/>
      <c r="CD20" s="141"/>
      <c r="CE20" s="141"/>
      <c r="CF20" s="142"/>
      <c r="CG20" s="143"/>
      <c r="CH20" s="141"/>
      <c r="CI20" s="141"/>
      <c r="CJ20" s="141"/>
      <c r="CK20" s="142"/>
      <c r="CL20" s="143"/>
      <c r="CM20" s="141"/>
      <c r="CN20" s="141"/>
      <c r="CO20" s="141"/>
      <c r="CP20" s="142"/>
      <c r="CQ20" s="143"/>
      <c r="CR20" s="141"/>
      <c r="CS20" s="141"/>
      <c r="CT20" s="141"/>
      <c r="CU20" s="142"/>
      <c r="CV20" s="143"/>
      <c r="CW20" s="141"/>
      <c r="CX20" s="141"/>
      <c r="CY20" s="141"/>
      <c r="CZ20" s="142"/>
      <c r="DA20" s="143"/>
      <c r="DB20" s="141"/>
      <c r="DC20" s="141"/>
      <c r="DD20" s="141"/>
      <c r="DE20" s="142"/>
      <c r="DF20" s="143"/>
      <c r="DG20" s="141"/>
      <c r="DH20" s="141"/>
      <c r="DI20" s="141"/>
      <c r="DJ20" s="162"/>
      <c r="DK20" s="66"/>
      <c r="DL20" s="122" t="s">
        <v>159</v>
      </c>
      <c r="DM20" s="123"/>
      <c r="DN20" s="123"/>
      <c r="DO20" s="123"/>
      <c r="DP20" s="123"/>
      <c r="DQ20" s="123"/>
      <c r="DR20" s="123"/>
      <c r="DS20" s="123"/>
      <c r="DT20" s="123"/>
      <c r="DU20" s="123"/>
      <c r="DV20" s="123"/>
      <c r="DW20" s="144"/>
      <c r="DX20" s="123"/>
      <c r="DY20" s="123"/>
      <c r="DZ20" s="123"/>
      <c r="EA20" s="123"/>
      <c r="EB20" s="124"/>
      <c r="EC20" s="7" t="s">
        <v>70</v>
      </c>
    </row>
    <row r="21" spans="1:139" x14ac:dyDescent="0.15">
      <c r="A21" s="53">
        <v>20</v>
      </c>
      <c r="B21" s="23"/>
      <c r="C21" s="47"/>
      <c r="D21" s="48"/>
      <c r="E21" s="48"/>
      <c r="F21" s="49"/>
      <c r="G21" s="122" t="s">
        <v>47</v>
      </c>
      <c r="H21" s="123"/>
      <c r="I21" s="123"/>
      <c r="J21" s="123"/>
      <c r="K21" s="144"/>
      <c r="L21" s="126"/>
      <c r="M21" s="123"/>
      <c r="N21" s="144"/>
      <c r="O21" s="143"/>
      <c r="P21" s="141"/>
      <c r="Q21" s="141"/>
      <c r="R21" s="141"/>
      <c r="S21" s="142"/>
      <c r="T21" s="143"/>
      <c r="U21" s="141"/>
      <c r="V21" s="141"/>
      <c r="W21" s="141"/>
      <c r="X21" s="142"/>
      <c r="Y21" s="143"/>
      <c r="Z21" s="141"/>
      <c r="AA21" s="141"/>
      <c r="AB21" s="141"/>
      <c r="AC21" s="142"/>
      <c r="AD21" s="143"/>
      <c r="AE21" s="141"/>
      <c r="AF21" s="141"/>
      <c r="AG21" s="141"/>
      <c r="AH21" s="142"/>
      <c r="AI21" s="143"/>
      <c r="AJ21" s="141"/>
      <c r="AK21" s="141"/>
      <c r="AL21" s="141"/>
      <c r="AM21" s="142"/>
      <c r="AN21" s="143"/>
      <c r="AO21" s="141"/>
      <c r="AP21" s="141"/>
      <c r="AQ21" s="141"/>
      <c r="AR21" s="142"/>
      <c r="AS21" s="143"/>
      <c r="AT21" s="141"/>
      <c r="AU21" s="141"/>
      <c r="AV21" s="141"/>
      <c r="AW21" s="142"/>
      <c r="AX21" s="143"/>
      <c r="AY21" s="141"/>
      <c r="AZ21" s="141"/>
      <c r="BA21" s="141"/>
      <c r="BB21" s="142"/>
      <c r="BC21" s="143"/>
      <c r="BD21" s="141"/>
      <c r="BE21" s="141"/>
      <c r="BF21" s="141"/>
      <c r="BG21" s="142"/>
      <c r="BH21" s="143"/>
      <c r="BI21" s="141"/>
      <c r="BJ21" s="141"/>
      <c r="BK21" s="141"/>
      <c r="BL21" s="142"/>
      <c r="BM21" s="143"/>
      <c r="BN21" s="141"/>
      <c r="BO21" s="141"/>
      <c r="BP21" s="141"/>
      <c r="BQ21" s="142"/>
      <c r="BR21" s="143"/>
      <c r="BS21" s="141"/>
      <c r="BT21" s="141"/>
      <c r="BU21" s="141"/>
      <c r="BV21" s="142"/>
      <c r="BW21" s="143"/>
      <c r="BX21" s="141"/>
      <c r="BY21" s="141"/>
      <c r="BZ21" s="141"/>
      <c r="CA21" s="142"/>
      <c r="CB21" s="143"/>
      <c r="CC21" s="141"/>
      <c r="CD21" s="141"/>
      <c r="CE21" s="141"/>
      <c r="CF21" s="142"/>
      <c r="CG21" s="143"/>
      <c r="CH21" s="141"/>
      <c r="CI21" s="141"/>
      <c r="CJ21" s="141"/>
      <c r="CK21" s="142"/>
      <c r="CL21" s="143"/>
      <c r="CM21" s="141"/>
      <c r="CN21" s="141"/>
      <c r="CO21" s="141"/>
      <c r="CP21" s="142"/>
      <c r="CQ21" s="143"/>
      <c r="CR21" s="141"/>
      <c r="CS21" s="141"/>
      <c r="CT21" s="141"/>
      <c r="CU21" s="142"/>
      <c r="CV21" s="143"/>
      <c r="CW21" s="141"/>
      <c r="CX21" s="141"/>
      <c r="CY21" s="141"/>
      <c r="CZ21" s="142"/>
      <c r="DA21" s="143"/>
      <c r="DB21" s="141"/>
      <c r="DC21" s="141"/>
      <c r="DD21" s="141"/>
      <c r="DE21" s="142"/>
      <c r="DF21" s="143"/>
      <c r="DG21" s="141"/>
      <c r="DH21" s="141"/>
      <c r="DI21" s="141"/>
      <c r="DJ21" s="162"/>
      <c r="DK21" s="66"/>
      <c r="DL21" s="122" t="s">
        <v>163</v>
      </c>
      <c r="DM21" s="123"/>
      <c r="DN21" s="123"/>
      <c r="DO21" s="123"/>
      <c r="DP21" s="123"/>
      <c r="DQ21" s="123"/>
      <c r="DR21" s="144"/>
      <c r="DS21" s="143" t="e">
        <f ca="1">('Unit op quantity and sizing'!BA12/'Unit op quantity and sizing'!BA10)*#REF!</f>
        <v>#REF!</v>
      </c>
      <c r="DT21" s="123"/>
      <c r="DU21" s="123"/>
      <c r="DV21" s="123"/>
      <c r="DW21" s="144"/>
      <c r="DX21" s="123" t="s">
        <v>160</v>
      </c>
      <c r="DY21" s="123"/>
      <c r="DZ21" s="123"/>
      <c r="EA21" s="123"/>
      <c r="EB21" s="124"/>
      <c r="EE21" s="7" t="s">
        <v>172</v>
      </c>
      <c r="EG21" s="75"/>
      <c r="EH21" s="7" t="e">
        <f ca="1">DS24</f>
        <v>#REF!</v>
      </c>
      <c r="EI21" s="7" t="s">
        <v>162</v>
      </c>
    </row>
    <row r="22" spans="1:139" x14ac:dyDescent="0.15">
      <c r="A22" s="52">
        <v>21</v>
      </c>
      <c r="B22" s="23"/>
      <c r="C22" s="47"/>
      <c r="D22" s="48"/>
      <c r="E22" s="48"/>
      <c r="F22" s="49"/>
      <c r="G22" s="122" t="s">
        <v>50</v>
      </c>
      <c r="H22" s="123"/>
      <c r="I22" s="123"/>
      <c r="J22" s="123"/>
      <c r="K22" s="144"/>
      <c r="L22" s="126"/>
      <c r="M22" s="123"/>
      <c r="N22" s="144"/>
      <c r="O22" s="143"/>
      <c r="P22" s="141"/>
      <c r="Q22" s="141"/>
      <c r="R22" s="141"/>
      <c r="S22" s="142"/>
      <c r="T22" s="143"/>
      <c r="U22" s="141"/>
      <c r="V22" s="141"/>
      <c r="W22" s="141"/>
      <c r="X22" s="142"/>
      <c r="Y22" s="143"/>
      <c r="Z22" s="141"/>
      <c r="AA22" s="141"/>
      <c r="AB22" s="141"/>
      <c r="AC22" s="142"/>
      <c r="AD22" s="143"/>
      <c r="AE22" s="141"/>
      <c r="AF22" s="141"/>
      <c r="AG22" s="141"/>
      <c r="AH22" s="142"/>
      <c r="AI22" s="143"/>
      <c r="AJ22" s="141"/>
      <c r="AK22" s="141"/>
      <c r="AL22" s="141"/>
      <c r="AM22" s="142"/>
      <c r="AN22" s="143"/>
      <c r="AO22" s="141"/>
      <c r="AP22" s="141"/>
      <c r="AQ22" s="141"/>
      <c r="AR22" s="142"/>
      <c r="AS22" s="143"/>
      <c r="AT22" s="141"/>
      <c r="AU22" s="141"/>
      <c r="AV22" s="141"/>
      <c r="AW22" s="142"/>
      <c r="AX22" s="143"/>
      <c r="AY22" s="141"/>
      <c r="AZ22" s="141"/>
      <c r="BA22" s="141"/>
      <c r="BB22" s="142"/>
      <c r="BC22" s="143"/>
      <c r="BD22" s="141"/>
      <c r="BE22" s="141"/>
      <c r="BF22" s="141"/>
      <c r="BG22" s="142"/>
      <c r="BH22" s="143"/>
      <c r="BI22" s="141"/>
      <c r="BJ22" s="141"/>
      <c r="BK22" s="141"/>
      <c r="BL22" s="142"/>
      <c r="BM22" s="143"/>
      <c r="BN22" s="141"/>
      <c r="BO22" s="141"/>
      <c r="BP22" s="141"/>
      <c r="BQ22" s="142"/>
      <c r="BR22" s="143"/>
      <c r="BS22" s="141"/>
      <c r="BT22" s="141"/>
      <c r="BU22" s="141"/>
      <c r="BV22" s="142"/>
      <c r="BW22" s="143"/>
      <c r="BX22" s="141"/>
      <c r="BY22" s="141"/>
      <c r="BZ22" s="141"/>
      <c r="CA22" s="142"/>
      <c r="CB22" s="143"/>
      <c r="CC22" s="141"/>
      <c r="CD22" s="141"/>
      <c r="CE22" s="141"/>
      <c r="CF22" s="142"/>
      <c r="CG22" s="143"/>
      <c r="CH22" s="141"/>
      <c r="CI22" s="141"/>
      <c r="CJ22" s="141"/>
      <c r="CK22" s="142"/>
      <c r="CL22" s="143"/>
      <c r="CM22" s="141"/>
      <c r="CN22" s="141"/>
      <c r="CO22" s="141"/>
      <c r="CP22" s="142"/>
      <c r="CQ22" s="143"/>
      <c r="CR22" s="141"/>
      <c r="CS22" s="141"/>
      <c r="CT22" s="141"/>
      <c r="CU22" s="142"/>
      <c r="CV22" s="143"/>
      <c r="CW22" s="141"/>
      <c r="CX22" s="141"/>
      <c r="CY22" s="141"/>
      <c r="CZ22" s="142"/>
      <c r="DA22" s="143"/>
      <c r="DB22" s="141"/>
      <c r="DC22" s="141"/>
      <c r="DD22" s="141"/>
      <c r="DE22" s="142"/>
      <c r="DF22" s="143"/>
      <c r="DG22" s="141"/>
      <c r="DH22" s="141"/>
      <c r="DI22" s="141"/>
      <c r="DJ22" s="162"/>
      <c r="DK22" s="66"/>
      <c r="DL22" s="122" t="s">
        <v>164</v>
      </c>
      <c r="DM22" s="123"/>
      <c r="DN22" s="123"/>
      <c r="DO22" s="123"/>
      <c r="DP22" s="123"/>
      <c r="DQ22" s="123"/>
      <c r="DR22" s="144"/>
      <c r="DS22" s="126" t="e">
        <f ca="1">(#REF!/#REF!)*'Enzyme Calcs'!DS21</f>
        <v>#REF!</v>
      </c>
      <c r="DT22" s="123"/>
      <c r="DU22" s="123"/>
      <c r="DV22" s="123"/>
      <c r="DW22" s="144"/>
      <c r="DX22" s="123" t="s">
        <v>160</v>
      </c>
      <c r="DY22" s="123"/>
      <c r="DZ22" s="123"/>
      <c r="EA22" s="123"/>
      <c r="EB22" s="124"/>
      <c r="EE22" s="7" t="s">
        <v>173</v>
      </c>
    </row>
    <row r="23" spans="1:139" x14ac:dyDescent="0.15">
      <c r="A23" s="53">
        <v>22</v>
      </c>
      <c r="B23" s="23"/>
      <c r="C23" s="47"/>
      <c r="D23" s="48"/>
      <c r="E23" s="48"/>
      <c r="F23" s="49"/>
      <c r="G23" s="122" t="s">
        <v>59</v>
      </c>
      <c r="H23" s="123"/>
      <c r="I23" s="123"/>
      <c r="J23" s="123"/>
      <c r="K23" s="144"/>
      <c r="L23" s="126"/>
      <c r="M23" s="123"/>
      <c r="N23" s="144"/>
      <c r="O23" s="143"/>
      <c r="P23" s="141"/>
      <c r="Q23" s="141"/>
      <c r="R23" s="141"/>
      <c r="S23" s="142"/>
      <c r="T23" s="143"/>
      <c r="U23" s="141"/>
      <c r="V23" s="141"/>
      <c r="W23" s="141"/>
      <c r="X23" s="142"/>
      <c r="Y23" s="143"/>
      <c r="Z23" s="141"/>
      <c r="AA23" s="141"/>
      <c r="AB23" s="141"/>
      <c r="AC23" s="142"/>
      <c r="AD23" s="143"/>
      <c r="AE23" s="141"/>
      <c r="AF23" s="141"/>
      <c r="AG23" s="141"/>
      <c r="AH23" s="142"/>
      <c r="AI23" s="143"/>
      <c r="AJ23" s="141"/>
      <c r="AK23" s="141"/>
      <c r="AL23" s="141"/>
      <c r="AM23" s="142"/>
      <c r="AN23" s="143"/>
      <c r="AO23" s="141"/>
      <c r="AP23" s="141"/>
      <c r="AQ23" s="141"/>
      <c r="AR23" s="142"/>
      <c r="AS23" s="143"/>
      <c r="AT23" s="141"/>
      <c r="AU23" s="141"/>
      <c r="AV23" s="141"/>
      <c r="AW23" s="142"/>
      <c r="AX23" s="143"/>
      <c r="AY23" s="141"/>
      <c r="AZ23" s="141"/>
      <c r="BA23" s="141"/>
      <c r="BB23" s="142"/>
      <c r="BC23" s="143"/>
      <c r="BD23" s="141"/>
      <c r="BE23" s="141"/>
      <c r="BF23" s="141"/>
      <c r="BG23" s="142"/>
      <c r="BH23" s="143"/>
      <c r="BI23" s="141"/>
      <c r="BJ23" s="141"/>
      <c r="BK23" s="141"/>
      <c r="BL23" s="142"/>
      <c r="BM23" s="143"/>
      <c r="BN23" s="141"/>
      <c r="BO23" s="141"/>
      <c r="BP23" s="141"/>
      <c r="BQ23" s="142"/>
      <c r="BR23" s="143"/>
      <c r="BS23" s="141"/>
      <c r="BT23" s="141"/>
      <c r="BU23" s="141"/>
      <c r="BV23" s="142"/>
      <c r="BW23" s="143"/>
      <c r="BX23" s="141"/>
      <c r="BY23" s="141"/>
      <c r="BZ23" s="141"/>
      <c r="CA23" s="142"/>
      <c r="CB23" s="143"/>
      <c r="CC23" s="141"/>
      <c r="CD23" s="141"/>
      <c r="CE23" s="141"/>
      <c r="CF23" s="142"/>
      <c r="CG23" s="143"/>
      <c r="CH23" s="141"/>
      <c r="CI23" s="141"/>
      <c r="CJ23" s="141"/>
      <c r="CK23" s="142"/>
      <c r="CL23" s="233"/>
      <c r="CM23" s="240"/>
      <c r="CN23" s="240"/>
      <c r="CO23" s="240"/>
      <c r="CP23" s="241"/>
      <c r="CQ23" s="143"/>
      <c r="CR23" s="141"/>
      <c r="CS23" s="141"/>
      <c r="CT23" s="141"/>
      <c r="CU23" s="142"/>
      <c r="CV23" s="143"/>
      <c r="CW23" s="141"/>
      <c r="CX23" s="141"/>
      <c r="CY23" s="141"/>
      <c r="CZ23" s="142"/>
      <c r="DA23" s="143"/>
      <c r="DB23" s="141"/>
      <c r="DC23" s="141"/>
      <c r="DD23" s="141"/>
      <c r="DE23" s="142"/>
      <c r="DF23" s="143"/>
      <c r="DG23" s="141"/>
      <c r="DH23" s="141"/>
      <c r="DI23" s="141"/>
      <c r="DJ23" s="162"/>
      <c r="DK23" s="66"/>
      <c r="DL23" s="122" t="s">
        <v>165</v>
      </c>
      <c r="DM23" s="123"/>
      <c r="DN23" s="123"/>
      <c r="DO23" s="123"/>
      <c r="DP23" s="123"/>
      <c r="DQ23" s="123"/>
      <c r="DR23" s="144"/>
      <c r="DS23" s="126">
        <v>180</v>
      </c>
      <c r="DT23" s="123"/>
      <c r="DU23" s="123"/>
      <c r="DV23" s="123"/>
      <c r="DW23" s="144"/>
      <c r="DX23" s="126" t="s">
        <v>161</v>
      </c>
      <c r="DY23" s="123"/>
      <c r="DZ23" s="123"/>
      <c r="EA23" s="123"/>
      <c r="EB23" s="124"/>
    </row>
    <row r="24" spans="1:139" x14ac:dyDescent="0.15">
      <c r="A24" s="53">
        <v>23</v>
      </c>
      <c r="B24" s="23"/>
      <c r="C24" s="145"/>
      <c r="D24" s="146"/>
      <c r="E24" s="146"/>
      <c r="F24" s="157"/>
      <c r="G24" s="122" t="s">
        <v>28</v>
      </c>
      <c r="H24" s="123"/>
      <c r="I24" s="123"/>
      <c r="J24" s="123"/>
      <c r="K24" s="144"/>
      <c r="L24" s="126"/>
      <c r="M24" s="123"/>
      <c r="N24" s="144"/>
      <c r="O24" s="143">
        <f>SUM(O11:S23)</f>
        <v>0</v>
      </c>
      <c r="P24" s="141"/>
      <c r="Q24" s="141"/>
      <c r="R24" s="141"/>
      <c r="S24" s="142"/>
      <c r="T24" s="143">
        <f>SUM(T11:X23)</f>
        <v>0</v>
      </c>
      <c r="U24" s="141"/>
      <c r="V24" s="141"/>
      <c r="W24" s="141"/>
      <c r="X24" s="142"/>
      <c r="Y24" s="143">
        <f t="shared" ref="Y24" si="0">SUM(Y11:AC23)</f>
        <v>0</v>
      </c>
      <c r="Z24" s="141"/>
      <c r="AA24" s="141"/>
      <c r="AB24" s="141"/>
      <c r="AC24" s="142"/>
      <c r="AD24" s="143">
        <f t="shared" ref="AD24" si="1">SUM(AD11:AH23)</f>
        <v>0</v>
      </c>
      <c r="AE24" s="141"/>
      <c r="AF24" s="141"/>
      <c r="AG24" s="141"/>
      <c r="AH24" s="142"/>
      <c r="AI24" s="143">
        <f t="shared" ref="AI24" si="2">SUM(AI11:AM23)</f>
        <v>0</v>
      </c>
      <c r="AJ24" s="141"/>
      <c r="AK24" s="141"/>
      <c r="AL24" s="141"/>
      <c r="AM24" s="142"/>
      <c r="AN24" s="143">
        <f t="shared" ref="AN24" si="3">SUM(AN11:AR23)</f>
        <v>0</v>
      </c>
      <c r="AO24" s="141"/>
      <c r="AP24" s="141"/>
      <c r="AQ24" s="141"/>
      <c r="AR24" s="142"/>
      <c r="AS24" s="143">
        <f t="shared" ref="AS24" si="4">SUM(AS11:AW23)</f>
        <v>0</v>
      </c>
      <c r="AT24" s="141"/>
      <c r="AU24" s="141"/>
      <c r="AV24" s="141"/>
      <c r="AW24" s="142"/>
      <c r="AX24" s="143">
        <f t="shared" ref="AX24" si="5">SUM(AX11:BB23)</f>
        <v>0</v>
      </c>
      <c r="AY24" s="141"/>
      <c r="AZ24" s="141"/>
      <c r="BA24" s="141"/>
      <c r="BB24" s="142"/>
      <c r="BC24" s="143">
        <f t="shared" ref="BC24" si="6">SUM(BC11:BG23)</f>
        <v>0</v>
      </c>
      <c r="BD24" s="141"/>
      <c r="BE24" s="141"/>
      <c r="BF24" s="141"/>
      <c r="BG24" s="142"/>
      <c r="BH24" s="143">
        <f t="shared" ref="BH24" si="7">SUM(BH11:BL23)</f>
        <v>0</v>
      </c>
      <c r="BI24" s="141"/>
      <c r="BJ24" s="141"/>
      <c r="BK24" s="141"/>
      <c r="BL24" s="142"/>
      <c r="BM24" s="143">
        <f t="shared" ref="BM24" si="8">SUM(BM11:BQ23)</f>
        <v>0</v>
      </c>
      <c r="BN24" s="141"/>
      <c r="BO24" s="141"/>
      <c r="BP24" s="141"/>
      <c r="BQ24" s="142"/>
      <c r="BR24" s="143">
        <f t="shared" ref="BR24" si="9">SUM(BR11:BV23)</f>
        <v>0</v>
      </c>
      <c r="BS24" s="141"/>
      <c r="BT24" s="141"/>
      <c r="BU24" s="141"/>
      <c r="BV24" s="142"/>
      <c r="BW24" s="143">
        <f t="shared" ref="BW24" si="10">SUM(BW11:CA23)</f>
        <v>0</v>
      </c>
      <c r="BX24" s="141"/>
      <c r="BY24" s="141"/>
      <c r="BZ24" s="141"/>
      <c r="CA24" s="142"/>
      <c r="CB24" s="143">
        <f t="shared" ref="CB24" si="11">SUM(CB11:CF23)</f>
        <v>0</v>
      </c>
      <c r="CC24" s="141"/>
      <c r="CD24" s="141"/>
      <c r="CE24" s="141"/>
      <c r="CF24" s="142"/>
      <c r="CG24" s="143">
        <f t="shared" ref="CG24" si="12">SUM(CG11:CK23)</f>
        <v>0</v>
      </c>
      <c r="CH24" s="141"/>
      <c r="CI24" s="141"/>
      <c r="CJ24" s="141"/>
      <c r="CK24" s="142"/>
      <c r="CL24" s="143">
        <f t="shared" ref="CL24" si="13">SUM(CL11:CP23)</f>
        <v>0</v>
      </c>
      <c r="CM24" s="141"/>
      <c r="CN24" s="141"/>
      <c r="CO24" s="141"/>
      <c r="CP24" s="142"/>
      <c r="CQ24" s="143">
        <f t="shared" ref="CQ24" si="14">SUM(CQ11:CU23)</f>
        <v>0</v>
      </c>
      <c r="CR24" s="141"/>
      <c r="CS24" s="141"/>
      <c r="CT24" s="141"/>
      <c r="CU24" s="142"/>
      <c r="CV24" s="143">
        <f t="shared" ref="CV24" si="15">SUM(CV11:CZ23)</f>
        <v>0</v>
      </c>
      <c r="CW24" s="141"/>
      <c r="CX24" s="141"/>
      <c r="CY24" s="141"/>
      <c r="CZ24" s="142"/>
      <c r="DA24" s="143">
        <f t="shared" ref="DA24" si="16">SUM(DA11:DE23)</f>
        <v>0</v>
      </c>
      <c r="DB24" s="141"/>
      <c r="DC24" s="141"/>
      <c r="DD24" s="141"/>
      <c r="DE24" s="142"/>
      <c r="DF24" s="143">
        <f t="shared" ref="DF24" si="17">SUM(DF11:DJ23)</f>
        <v>0</v>
      </c>
      <c r="DG24" s="141"/>
      <c r="DH24" s="141"/>
      <c r="DI24" s="141"/>
      <c r="DJ24" s="162"/>
      <c r="DK24" s="66"/>
      <c r="DL24" s="122" t="s">
        <v>166</v>
      </c>
      <c r="DM24" s="123"/>
      <c r="DN24" s="123"/>
      <c r="DO24" s="123"/>
      <c r="DP24" s="123"/>
      <c r="DQ24" s="123"/>
      <c r="DR24" s="144"/>
      <c r="DS24" s="126" t="e">
        <f ca="1">DS22/DS23</f>
        <v>#REF!</v>
      </c>
      <c r="DT24" s="123"/>
      <c r="DU24" s="123"/>
      <c r="DV24" s="123"/>
      <c r="DW24" s="144"/>
      <c r="DX24" s="126" t="s">
        <v>162</v>
      </c>
      <c r="DY24" s="123"/>
      <c r="DZ24" s="123"/>
      <c r="EA24" s="123"/>
      <c r="EB24" s="124"/>
    </row>
    <row r="25" spans="1:139" x14ac:dyDescent="0.15">
      <c r="A25" s="53">
        <v>24</v>
      </c>
      <c r="B25" s="23"/>
      <c r="C25" s="145"/>
      <c r="D25" s="146"/>
      <c r="E25" s="146"/>
      <c r="F25" s="157"/>
      <c r="G25" s="122" t="s">
        <v>29</v>
      </c>
      <c r="H25" s="123"/>
      <c r="I25" s="123"/>
      <c r="J25" s="123"/>
      <c r="K25" s="144"/>
      <c r="L25" s="126"/>
      <c r="M25" s="123"/>
      <c r="N25" s="144"/>
      <c r="O25" s="126"/>
      <c r="P25" s="123"/>
      <c r="Q25" s="123"/>
      <c r="R25" s="123"/>
      <c r="S25" s="123"/>
      <c r="T25" s="123"/>
      <c r="U25" s="123"/>
      <c r="V25" s="123"/>
      <c r="W25" s="123"/>
      <c r="X25" s="144"/>
      <c r="Y25" s="126"/>
      <c r="Z25" s="123"/>
      <c r="AA25" s="123"/>
      <c r="AB25" s="123"/>
      <c r="AC25" s="123"/>
      <c r="AD25" s="123"/>
      <c r="AE25" s="123"/>
      <c r="AF25" s="123"/>
      <c r="AG25" s="123"/>
      <c r="AH25" s="144"/>
      <c r="AI25" s="126"/>
      <c r="AJ25" s="123"/>
      <c r="AK25" s="123"/>
      <c r="AL25" s="123"/>
      <c r="AM25" s="123"/>
      <c r="AN25" s="123"/>
      <c r="AO25" s="123"/>
      <c r="AP25" s="123"/>
      <c r="AQ25" s="123"/>
      <c r="AR25" s="144"/>
      <c r="AS25" s="126"/>
      <c r="AT25" s="123"/>
      <c r="AU25" s="123"/>
      <c r="AV25" s="123"/>
      <c r="AW25" s="123"/>
      <c r="AX25" s="123"/>
      <c r="AY25" s="123"/>
      <c r="AZ25" s="123"/>
      <c r="BA25" s="123"/>
      <c r="BB25" s="144"/>
      <c r="BC25" s="126"/>
      <c r="BD25" s="123"/>
      <c r="BE25" s="123"/>
      <c r="BF25" s="123"/>
      <c r="BG25" s="123"/>
      <c r="BH25" s="123"/>
      <c r="BI25" s="123"/>
      <c r="BJ25" s="123"/>
      <c r="BK25" s="123"/>
      <c r="BL25" s="144"/>
      <c r="BM25" s="126"/>
      <c r="BN25" s="123"/>
      <c r="BO25" s="123"/>
      <c r="BP25" s="123"/>
      <c r="BQ25" s="123"/>
      <c r="BR25" s="123"/>
      <c r="BS25" s="123"/>
      <c r="BT25" s="123"/>
      <c r="BU25" s="123"/>
      <c r="BV25" s="144"/>
      <c r="BW25" s="126"/>
      <c r="BX25" s="123"/>
      <c r="BY25" s="123"/>
      <c r="BZ25" s="123"/>
      <c r="CA25" s="123"/>
      <c r="CB25" s="123"/>
      <c r="CC25" s="123"/>
      <c r="CD25" s="123"/>
      <c r="CE25" s="123"/>
      <c r="CF25" s="144"/>
      <c r="CG25" s="126"/>
      <c r="CH25" s="123"/>
      <c r="CI25" s="123"/>
      <c r="CJ25" s="123"/>
      <c r="CK25" s="123"/>
      <c r="CL25" s="123"/>
      <c r="CM25" s="123"/>
      <c r="CN25" s="123"/>
      <c r="CO25" s="123"/>
      <c r="CP25" s="144"/>
      <c r="CQ25" s="126"/>
      <c r="CR25" s="123"/>
      <c r="CS25" s="123"/>
      <c r="CT25" s="123"/>
      <c r="CU25" s="123"/>
      <c r="CV25" s="123"/>
      <c r="CW25" s="123"/>
      <c r="CX25" s="123"/>
      <c r="CY25" s="123"/>
      <c r="CZ25" s="144"/>
      <c r="DA25" s="126"/>
      <c r="DB25" s="123"/>
      <c r="DC25" s="123"/>
      <c r="DD25" s="123"/>
      <c r="DE25" s="123"/>
      <c r="DF25" s="123"/>
      <c r="DG25" s="123"/>
      <c r="DH25" s="123"/>
      <c r="DI25" s="123"/>
      <c r="DJ25" s="124"/>
      <c r="DK25" s="66"/>
      <c r="DL25" s="122" t="s">
        <v>167</v>
      </c>
      <c r="DM25" s="123"/>
      <c r="DN25" s="123"/>
      <c r="DO25" s="123"/>
      <c r="DP25" s="123"/>
      <c r="DQ25" s="123"/>
      <c r="DR25" s="144"/>
      <c r="DS25" s="126" t="e">
        <f ca="1">(DS24/(60*48*52000)*10^9)/1000</f>
        <v>#REF!</v>
      </c>
      <c r="DT25" s="123"/>
      <c r="DU25" s="123"/>
      <c r="DV25" s="123"/>
      <c r="DW25" s="144"/>
      <c r="DX25" s="126" t="s">
        <v>160</v>
      </c>
      <c r="DY25" s="123"/>
      <c r="DZ25" s="123"/>
      <c r="EA25" s="123"/>
      <c r="EB25" s="124"/>
      <c r="EC25" s="7" t="s">
        <v>168</v>
      </c>
    </row>
    <row r="26" spans="1:139" x14ac:dyDescent="0.15">
      <c r="A26" s="53">
        <v>25</v>
      </c>
      <c r="B26" s="23"/>
      <c r="C26" s="145"/>
      <c r="D26" s="146"/>
      <c r="E26" s="146"/>
      <c r="F26" s="157"/>
      <c r="G26" s="122" t="s">
        <v>30</v>
      </c>
      <c r="H26" s="123"/>
      <c r="I26" s="123"/>
      <c r="J26" s="123"/>
      <c r="K26" s="144"/>
      <c r="L26" s="126"/>
      <c r="M26" s="123"/>
      <c r="N26" s="144"/>
      <c r="O26" s="126"/>
      <c r="P26" s="123"/>
      <c r="Q26" s="123"/>
      <c r="R26" s="123"/>
      <c r="S26" s="123"/>
      <c r="T26" s="123"/>
      <c r="U26" s="123"/>
      <c r="V26" s="123"/>
      <c r="W26" s="123"/>
      <c r="X26" s="144"/>
      <c r="Y26" s="126"/>
      <c r="Z26" s="123"/>
      <c r="AA26" s="123"/>
      <c r="AB26" s="123"/>
      <c r="AC26" s="123"/>
      <c r="AD26" s="123"/>
      <c r="AE26" s="123"/>
      <c r="AF26" s="123"/>
      <c r="AG26" s="123"/>
      <c r="AH26" s="144"/>
      <c r="AI26" s="126"/>
      <c r="AJ26" s="123"/>
      <c r="AK26" s="123"/>
      <c r="AL26" s="123"/>
      <c r="AM26" s="123"/>
      <c r="AN26" s="123"/>
      <c r="AO26" s="123"/>
      <c r="AP26" s="123"/>
      <c r="AQ26" s="123"/>
      <c r="AR26" s="144"/>
      <c r="AS26" s="126"/>
      <c r="AT26" s="123"/>
      <c r="AU26" s="123"/>
      <c r="AV26" s="123"/>
      <c r="AW26" s="123"/>
      <c r="AX26" s="123"/>
      <c r="AY26" s="123"/>
      <c r="AZ26" s="123"/>
      <c r="BA26" s="123"/>
      <c r="BB26" s="144"/>
      <c r="BC26" s="126"/>
      <c r="BD26" s="123"/>
      <c r="BE26" s="123"/>
      <c r="BF26" s="123"/>
      <c r="BG26" s="123"/>
      <c r="BH26" s="123"/>
      <c r="BI26" s="123"/>
      <c r="BJ26" s="123"/>
      <c r="BK26" s="123"/>
      <c r="BL26" s="144"/>
      <c r="BM26" s="126"/>
      <c r="BN26" s="123"/>
      <c r="BO26" s="123"/>
      <c r="BP26" s="123"/>
      <c r="BQ26" s="123"/>
      <c r="BR26" s="123"/>
      <c r="BS26" s="123"/>
      <c r="BT26" s="123"/>
      <c r="BU26" s="123"/>
      <c r="BV26" s="144"/>
      <c r="BW26" s="126"/>
      <c r="BX26" s="123"/>
      <c r="BY26" s="123"/>
      <c r="BZ26" s="123"/>
      <c r="CA26" s="123"/>
      <c r="CB26" s="123"/>
      <c r="CC26" s="123"/>
      <c r="CD26" s="123"/>
      <c r="CE26" s="123"/>
      <c r="CF26" s="144"/>
      <c r="CG26" s="126"/>
      <c r="CH26" s="123"/>
      <c r="CI26" s="123"/>
      <c r="CJ26" s="123"/>
      <c r="CK26" s="123"/>
      <c r="CL26" s="123"/>
      <c r="CM26" s="123"/>
      <c r="CN26" s="123"/>
      <c r="CO26" s="123"/>
      <c r="CP26" s="144"/>
      <c r="CQ26" s="126"/>
      <c r="CR26" s="123"/>
      <c r="CS26" s="123"/>
      <c r="CT26" s="123"/>
      <c r="CU26" s="123"/>
      <c r="CV26" s="123"/>
      <c r="CW26" s="123"/>
      <c r="CX26" s="123"/>
      <c r="CY26" s="123"/>
      <c r="CZ26" s="144"/>
      <c r="DA26" s="126"/>
      <c r="DB26" s="123"/>
      <c r="DC26" s="123"/>
      <c r="DD26" s="123"/>
      <c r="DE26" s="123"/>
      <c r="DF26" s="123"/>
      <c r="DG26" s="123"/>
      <c r="DH26" s="123"/>
      <c r="DI26" s="123"/>
      <c r="DJ26" s="124"/>
      <c r="DK26" s="66"/>
      <c r="DL26" s="122" t="s">
        <v>175</v>
      </c>
      <c r="DM26" s="123"/>
      <c r="DN26" s="123"/>
      <c r="DO26" s="123"/>
      <c r="DP26" s="123"/>
      <c r="DQ26" s="123"/>
      <c r="DR26" s="144"/>
      <c r="DS26" s="126" t="e">
        <f ca="1">DS25*61000</f>
        <v>#REF!</v>
      </c>
      <c r="DT26" s="123"/>
      <c r="DU26" s="123"/>
      <c r="DV26" s="123"/>
      <c r="DW26" s="144"/>
      <c r="DX26" s="126" t="s">
        <v>170</v>
      </c>
      <c r="DY26" s="123"/>
      <c r="DZ26" s="123"/>
      <c r="EA26" s="123"/>
      <c r="EB26" s="124"/>
      <c r="EC26" s="7" t="s">
        <v>168</v>
      </c>
    </row>
    <row r="27" spans="1:139" x14ac:dyDescent="0.15">
      <c r="A27" s="52">
        <v>26</v>
      </c>
      <c r="B27" s="23"/>
      <c r="C27" s="145"/>
      <c r="D27" s="146"/>
      <c r="E27" s="146"/>
      <c r="F27" s="157"/>
      <c r="G27" s="109" t="s">
        <v>31</v>
      </c>
      <c r="H27" s="110"/>
      <c r="I27" s="110"/>
      <c r="J27" s="110"/>
      <c r="K27" s="128"/>
      <c r="L27" s="127"/>
      <c r="M27" s="110"/>
      <c r="N27" s="128"/>
      <c r="O27" s="127">
        <v>0</v>
      </c>
      <c r="P27" s="110"/>
      <c r="Q27" s="110"/>
      <c r="R27" s="110"/>
      <c r="S27" s="110"/>
      <c r="T27" s="110"/>
      <c r="U27" s="110"/>
      <c r="V27" s="110"/>
      <c r="W27" s="110"/>
      <c r="X27" s="128"/>
      <c r="Y27" s="127">
        <v>0</v>
      </c>
      <c r="Z27" s="110"/>
      <c r="AA27" s="110"/>
      <c r="AB27" s="110"/>
      <c r="AC27" s="110"/>
      <c r="AD27" s="110"/>
      <c r="AE27" s="110"/>
      <c r="AF27" s="110"/>
      <c r="AG27" s="110"/>
      <c r="AH27" s="128"/>
      <c r="AI27" s="127">
        <v>0</v>
      </c>
      <c r="AJ27" s="110"/>
      <c r="AK27" s="110"/>
      <c r="AL27" s="110"/>
      <c r="AM27" s="110"/>
      <c r="AN27" s="110"/>
      <c r="AO27" s="110"/>
      <c r="AP27" s="110"/>
      <c r="AQ27" s="110"/>
      <c r="AR27" s="128"/>
      <c r="AS27" s="127">
        <v>0</v>
      </c>
      <c r="AT27" s="110"/>
      <c r="AU27" s="110"/>
      <c r="AV27" s="110"/>
      <c r="AW27" s="110"/>
      <c r="AX27" s="110"/>
      <c r="AY27" s="110"/>
      <c r="AZ27" s="110"/>
      <c r="BA27" s="110"/>
      <c r="BB27" s="128"/>
      <c r="BC27" s="127">
        <v>0</v>
      </c>
      <c r="BD27" s="110"/>
      <c r="BE27" s="110"/>
      <c r="BF27" s="110"/>
      <c r="BG27" s="110"/>
      <c r="BH27" s="110"/>
      <c r="BI27" s="110"/>
      <c r="BJ27" s="110"/>
      <c r="BK27" s="110"/>
      <c r="BL27" s="128"/>
      <c r="BM27" s="127">
        <v>0</v>
      </c>
      <c r="BN27" s="110"/>
      <c r="BO27" s="110"/>
      <c r="BP27" s="110"/>
      <c r="BQ27" s="110"/>
      <c r="BR27" s="110"/>
      <c r="BS27" s="110"/>
      <c r="BT27" s="110"/>
      <c r="BU27" s="110"/>
      <c r="BV27" s="128"/>
      <c r="BW27" s="127">
        <v>0</v>
      </c>
      <c r="BX27" s="110"/>
      <c r="BY27" s="110"/>
      <c r="BZ27" s="110"/>
      <c r="CA27" s="110"/>
      <c r="CB27" s="110"/>
      <c r="CC27" s="110"/>
      <c r="CD27" s="110"/>
      <c r="CE27" s="110"/>
      <c r="CF27" s="128"/>
      <c r="CG27" s="127">
        <v>0</v>
      </c>
      <c r="CH27" s="110"/>
      <c r="CI27" s="110"/>
      <c r="CJ27" s="110"/>
      <c r="CK27" s="110"/>
      <c r="CL27" s="110"/>
      <c r="CM27" s="110"/>
      <c r="CN27" s="110"/>
      <c r="CO27" s="110"/>
      <c r="CP27" s="128"/>
      <c r="CQ27" s="127">
        <v>0</v>
      </c>
      <c r="CR27" s="110"/>
      <c r="CS27" s="110"/>
      <c r="CT27" s="110"/>
      <c r="CU27" s="110"/>
      <c r="CV27" s="110"/>
      <c r="CW27" s="110"/>
      <c r="CX27" s="110"/>
      <c r="CY27" s="110"/>
      <c r="CZ27" s="128"/>
      <c r="DA27" s="127"/>
      <c r="DB27" s="110"/>
      <c r="DC27" s="110"/>
      <c r="DD27" s="110"/>
      <c r="DE27" s="110"/>
      <c r="DF27" s="110"/>
      <c r="DG27" s="110"/>
      <c r="DH27" s="110"/>
      <c r="DI27" s="110"/>
      <c r="DJ27" s="111"/>
      <c r="DK27" s="66"/>
      <c r="DL27" s="122" t="s">
        <v>169</v>
      </c>
      <c r="DM27" s="123"/>
      <c r="DN27" s="123"/>
      <c r="DO27" s="123"/>
      <c r="DP27" s="123"/>
      <c r="DQ27" s="123"/>
      <c r="DR27" s="144"/>
      <c r="DS27" s="126" t="e">
        <f ca="1">(DS25*61000/48)*5</f>
        <v>#REF!</v>
      </c>
      <c r="DT27" s="123"/>
      <c r="DU27" s="123"/>
      <c r="DV27" s="123"/>
      <c r="DW27" s="144"/>
      <c r="DX27" s="126" t="s">
        <v>176</v>
      </c>
      <c r="DY27" s="123"/>
      <c r="DZ27" s="123"/>
      <c r="EA27" s="123"/>
      <c r="EB27" s="124"/>
      <c r="EC27" s="7" t="s">
        <v>168</v>
      </c>
    </row>
    <row r="28" spans="1:139" x14ac:dyDescent="0.15">
      <c r="A28" s="53">
        <v>27</v>
      </c>
      <c r="B28" s="23"/>
      <c r="C28" s="145"/>
      <c r="D28" s="146"/>
      <c r="E28" s="146"/>
      <c r="F28" s="157"/>
      <c r="G28" s="21"/>
      <c r="H28" s="62"/>
      <c r="I28" s="62"/>
      <c r="J28" s="62"/>
      <c r="K28" s="62"/>
      <c r="L28" s="62"/>
      <c r="M28" s="62"/>
      <c r="N28" s="64"/>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10"/>
      <c r="BB28" s="62"/>
      <c r="BC28" s="62"/>
      <c r="BD28" s="62"/>
      <c r="BE28" s="62"/>
      <c r="BF28" s="62"/>
      <c r="BG28" s="62"/>
      <c r="BH28" s="62"/>
      <c r="BI28" s="62"/>
      <c r="BJ28" s="62"/>
      <c r="BK28" s="62"/>
      <c r="BL28" s="62"/>
      <c r="BM28" s="62"/>
      <c r="BN28" s="62"/>
      <c r="BO28" s="62"/>
      <c r="BP28" s="62"/>
      <c r="BQ28" s="62"/>
      <c r="BR28" s="62"/>
      <c r="BS28" s="62"/>
      <c r="BT28" s="62"/>
      <c r="BU28" s="62"/>
      <c r="BV28" s="62"/>
      <c r="BW28" s="62"/>
      <c r="BX28" s="62"/>
      <c r="BY28" s="62"/>
      <c r="BZ28" s="62"/>
      <c r="CA28" s="62"/>
      <c r="CB28" s="62"/>
      <c r="CC28" s="62"/>
      <c r="CD28" s="62"/>
      <c r="CE28" s="62"/>
      <c r="CF28" s="62"/>
      <c r="CG28" s="62"/>
      <c r="CH28" s="62"/>
      <c r="CI28" s="62"/>
      <c r="CJ28" s="62"/>
      <c r="CK28" s="62"/>
      <c r="CL28" s="62"/>
      <c r="CM28" s="62"/>
      <c r="CN28" s="62"/>
      <c r="CO28" s="62"/>
      <c r="CP28" s="62"/>
      <c r="CQ28" s="62"/>
      <c r="CR28" s="62"/>
      <c r="CS28" s="62"/>
      <c r="CT28" s="62"/>
      <c r="CU28" s="62"/>
      <c r="CV28" s="62"/>
      <c r="CW28" s="62"/>
      <c r="CX28" s="62"/>
      <c r="CY28" s="62"/>
      <c r="CZ28" s="62"/>
      <c r="DA28" s="62"/>
      <c r="DB28" s="62"/>
      <c r="DC28" s="62"/>
      <c r="DD28" s="62"/>
      <c r="DE28" s="62"/>
      <c r="DF28" s="62"/>
      <c r="DG28" s="62"/>
      <c r="DH28" s="62"/>
      <c r="DI28" s="62"/>
      <c r="DJ28" s="62"/>
      <c r="DK28" s="57"/>
      <c r="DL28" s="122" t="s">
        <v>174</v>
      </c>
      <c r="DM28" s="123"/>
      <c r="DN28" s="123"/>
      <c r="DO28" s="123"/>
      <c r="DP28" s="123"/>
      <c r="DQ28" s="123"/>
      <c r="DR28" s="144"/>
      <c r="DS28" s="126" t="e">
        <f ca="1">(DS24/(60*48*130000)*10^9)/1000</f>
        <v>#REF!</v>
      </c>
      <c r="DT28" s="123"/>
      <c r="DU28" s="123"/>
      <c r="DV28" s="123"/>
      <c r="DW28" s="144"/>
      <c r="DX28" s="126" t="s">
        <v>160</v>
      </c>
      <c r="DY28" s="123"/>
      <c r="DZ28" s="123"/>
      <c r="EA28" s="123"/>
      <c r="EB28" s="124"/>
      <c r="EC28" s="7" t="s">
        <v>171</v>
      </c>
    </row>
    <row r="29" spans="1:139" x14ac:dyDescent="0.15">
      <c r="A29" s="53">
        <v>28</v>
      </c>
      <c r="B29" s="23"/>
      <c r="C29" s="145"/>
      <c r="D29" s="146"/>
      <c r="E29" s="146"/>
      <c r="F29" s="157"/>
      <c r="G29" s="147" t="s">
        <v>44</v>
      </c>
      <c r="H29" s="148"/>
      <c r="I29" s="148"/>
      <c r="J29" s="148"/>
      <c r="K29" s="148"/>
      <c r="L29" s="148"/>
      <c r="M29" s="148"/>
      <c r="N29" s="178"/>
      <c r="O29" s="149"/>
      <c r="P29" s="148"/>
      <c r="Q29" s="148"/>
      <c r="R29" s="148"/>
      <c r="S29" s="148"/>
      <c r="T29" s="148"/>
      <c r="U29" s="148"/>
      <c r="V29" s="148"/>
      <c r="W29" s="148"/>
      <c r="X29" s="178"/>
      <c r="Y29" s="149"/>
      <c r="Z29" s="148"/>
      <c r="AA29" s="148"/>
      <c r="AB29" s="148"/>
      <c r="AC29" s="148"/>
      <c r="AD29" s="148"/>
      <c r="AE29" s="148"/>
      <c r="AF29" s="148"/>
      <c r="AG29" s="148"/>
      <c r="AH29" s="178"/>
      <c r="AI29" s="149"/>
      <c r="AJ29" s="148"/>
      <c r="AK29" s="148"/>
      <c r="AL29" s="148"/>
      <c r="AM29" s="148"/>
      <c r="AN29" s="148"/>
      <c r="AO29" s="148"/>
      <c r="AP29" s="148"/>
      <c r="AQ29" s="148"/>
      <c r="AR29" s="178"/>
      <c r="AS29" s="149"/>
      <c r="AT29" s="148"/>
      <c r="AU29" s="148"/>
      <c r="AV29" s="148"/>
      <c r="AW29" s="148"/>
      <c r="AX29" s="148"/>
      <c r="AY29" s="148"/>
      <c r="AZ29" s="148"/>
      <c r="BA29" s="148"/>
      <c r="BB29" s="178"/>
      <c r="BC29" s="149"/>
      <c r="BD29" s="148"/>
      <c r="BE29" s="148"/>
      <c r="BF29" s="148"/>
      <c r="BG29" s="148"/>
      <c r="BH29" s="148"/>
      <c r="BI29" s="148"/>
      <c r="BJ29" s="148"/>
      <c r="BK29" s="148"/>
      <c r="BL29" s="178"/>
      <c r="BM29" s="149"/>
      <c r="BN29" s="148"/>
      <c r="BO29" s="148"/>
      <c r="BP29" s="148"/>
      <c r="BQ29" s="148"/>
      <c r="BR29" s="148"/>
      <c r="BS29" s="148"/>
      <c r="BT29" s="148"/>
      <c r="BU29" s="148"/>
      <c r="BV29" s="178"/>
      <c r="BW29" s="149"/>
      <c r="BX29" s="148"/>
      <c r="BY29" s="148"/>
      <c r="BZ29" s="148"/>
      <c r="CA29" s="148"/>
      <c r="CB29" s="148"/>
      <c r="CC29" s="148"/>
      <c r="CD29" s="148"/>
      <c r="CE29" s="148"/>
      <c r="CF29" s="178"/>
      <c r="CG29" s="149"/>
      <c r="CH29" s="148"/>
      <c r="CI29" s="148"/>
      <c r="CJ29" s="148"/>
      <c r="CK29" s="148"/>
      <c r="CL29" s="148"/>
      <c r="CM29" s="148"/>
      <c r="CN29" s="148"/>
      <c r="CO29" s="148"/>
      <c r="CP29" s="178"/>
      <c r="CQ29" s="149"/>
      <c r="CR29" s="148"/>
      <c r="CS29" s="148"/>
      <c r="CT29" s="148"/>
      <c r="CU29" s="148"/>
      <c r="CV29" s="148"/>
      <c r="CW29" s="148"/>
      <c r="CX29" s="148"/>
      <c r="CY29" s="148"/>
      <c r="CZ29" s="178"/>
      <c r="DA29" s="149"/>
      <c r="DB29" s="148"/>
      <c r="DC29" s="148"/>
      <c r="DD29" s="148"/>
      <c r="DE29" s="148"/>
      <c r="DF29" s="148"/>
      <c r="DG29" s="148"/>
      <c r="DH29" s="148"/>
      <c r="DI29" s="148"/>
      <c r="DJ29" s="150"/>
      <c r="DK29" s="66"/>
      <c r="DL29" s="122" t="s">
        <v>175</v>
      </c>
      <c r="DM29" s="123"/>
      <c r="DN29" s="123"/>
      <c r="DO29" s="123"/>
      <c r="DP29" s="123"/>
      <c r="DQ29" s="123"/>
      <c r="DR29" s="144"/>
      <c r="DS29" s="126" t="e">
        <f ca="1">DS28*61000</f>
        <v>#REF!</v>
      </c>
      <c r="DT29" s="123"/>
      <c r="DU29" s="123"/>
      <c r="DV29" s="123"/>
      <c r="DW29" s="144"/>
      <c r="DX29" s="126" t="s">
        <v>170</v>
      </c>
      <c r="DY29" s="123"/>
      <c r="DZ29" s="123"/>
      <c r="EA29" s="123"/>
      <c r="EB29" s="124"/>
      <c r="EC29" s="7" t="s">
        <v>171</v>
      </c>
    </row>
    <row r="30" spans="1:139" x14ac:dyDescent="0.15">
      <c r="A30" s="53">
        <v>29</v>
      </c>
      <c r="B30" s="23"/>
      <c r="C30" s="145"/>
      <c r="D30" s="146"/>
      <c r="E30" s="146"/>
      <c r="F30" s="157"/>
      <c r="G30" s="238" t="s">
        <v>45</v>
      </c>
      <c r="H30" s="138"/>
      <c r="I30" s="138"/>
      <c r="J30" s="138"/>
      <c r="K30" s="138"/>
      <c r="L30" s="138"/>
      <c r="M30" s="138"/>
      <c r="N30" s="239"/>
      <c r="O30" s="126"/>
      <c r="P30" s="123"/>
      <c r="Q30" s="123"/>
      <c r="R30" s="123"/>
      <c r="S30" s="123"/>
      <c r="T30" s="123"/>
      <c r="U30" s="123"/>
      <c r="V30" s="123"/>
      <c r="W30" s="123"/>
      <c r="X30" s="144"/>
      <c r="Y30" s="126"/>
      <c r="Z30" s="123"/>
      <c r="AA30" s="123"/>
      <c r="AB30" s="123"/>
      <c r="AC30" s="123"/>
      <c r="AD30" s="123"/>
      <c r="AE30" s="123"/>
      <c r="AF30" s="123"/>
      <c r="AG30" s="123"/>
      <c r="AH30" s="144"/>
      <c r="AI30" s="126"/>
      <c r="AJ30" s="123"/>
      <c r="AK30" s="123"/>
      <c r="AL30" s="123"/>
      <c r="AM30" s="123"/>
      <c r="AN30" s="123"/>
      <c r="AO30" s="123"/>
      <c r="AP30" s="123"/>
      <c r="AQ30" s="123"/>
      <c r="AR30" s="144"/>
      <c r="AS30" s="126"/>
      <c r="AT30" s="123"/>
      <c r="AU30" s="123"/>
      <c r="AV30" s="123"/>
      <c r="AW30" s="123"/>
      <c r="AX30" s="123"/>
      <c r="AY30" s="123"/>
      <c r="AZ30" s="123"/>
      <c r="BA30" s="123"/>
      <c r="BB30" s="144"/>
      <c r="BC30" s="126"/>
      <c r="BD30" s="123"/>
      <c r="BE30" s="123"/>
      <c r="BF30" s="123"/>
      <c r="BG30" s="123"/>
      <c r="BH30" s="123"/>
      <c r="BI30" s="123"/>
      <c r="BJ30" s="123"/>
      <c r="BK30" s="123"/>
      <c r="BL30" s="144"/>
      <c r="BM30" s="126"/>
      <c r="BN30" s="123"/>
      <c r="BO30" s="123"/>
      <c r="BP30" s="123"/>
      <c r="BQ30" s="123"/>
      <c r="BR30" s="123"/>
      <c r="BS30" s="123"/>
      <c r="BT30" s="123"/>
      <c r="BU30" s="123"/>
      <c r="BV30" s="144"/>
      <c r="BW30" s="126"/>
      <c r="BX30" s="123"/>
      <c r="BY30" s="123"/>
      <c r="BZ30" s="123"/>
      <c r="CA30" s="123"/>
      <c r="CB30" s="123"/>
      <c r="CC30" s="123"/>
      <c r="CD30" s="123"/>
      <c r="CE30" s="123"/>
      <c r="CF30" s="144"/>
      <c r="CG30" s="126"/>
      <c r="CH30" s="123"/>
      <c r="CI30" s="123"/>
      <c r="CJ30" s="123"/>
      <c r="CK30" s="123"/>
      <c r="CL30" s="123"/>
      <c r="CM30" s="123"/>
      <c r="CN30" s="123"/>
      <c r="CO30" s="123"/>
      <c r="CP30" s="144"/>
      <c r="CQ30" s="126"/>
      <c r="CR30" s="123"/>
      <c r="CS30" s="123"/>
      <c r="CT30" s="123"/>
      <c r="CU30" s="123"/>
      <c r="CV30" s="123"/>
      <c r="CW30" s="123"/>
      <c r="CX30" s="123"/>
      <c r="CY30" s="123"/>
      <c r="CZ30" s="144"/>
      <c r="DA30" s="126"/>
      <c r="DB30" s="123"/>
      <c r="DC30" s="123"/>
      <c r="DD30" s="123"/>
      <c r="DE30" s="123"/>
      <c r="DF30" s="123"/>
      <c r="DG30" s="123"/>
      <c r="DH30" s="123"/>
      <c r="DI30" s="123"/>
      <c r="DJ30" s="124"/>
      <c r="DK30" s="66"/>
      <c r="DL30" s="122" t="s">
        <v>169</v>
      </c>
      <c r="DM30" s="123"/>
      <c r="DN30" s="123"/>
      <c r="DO30" s="123"/>
      <c r="DP30" s="123"/>
      <c r="DQ30" s="123"/>
      <c r="DR30" s="144"/>
      <c r="DS30" s="236" t="e">
        <f ca="1">(DS29/48)*5</f>
        <v>#REF!</v>
      </c>
      <c r="DT30" s="234"/>
      <c r="DU30" s="234"/>
      <c r="DV30" s="234"/>
      <c r="DW30" s="237"/>
      <c r="DX30" s="126" t="s">
        <v>176</v>
      </c>
      <c r="DY30" s="123"/>
      <c r="DZ30" s="123"/>
      <c r="EA30" s="123"/>
      <c r="EB30" s="124"/>
      <c r="EC30" s="7" t="s">
        <v>171</v>
      </c>
    </row>
    <row r="31" spans="1:139" x14ac:dyDescent="0.15">
      <c r="A31" s="53">
        <v>30</v>
      </c>
      <c r="B31" s="23"/>
      <c r="C31" s="145"/>
      <c r="D31" s="146"/>
      <c r="E31" s="146"/>
      <c r="F31" s="157"/>
      <c r="G31" s="122" t="s">
        <v>19</v>
      </c>
      <c r="H31" s="123"/>
      <c r="I31" s="123"/>
      <c r="J31" s="123"/>
      <c r="K31" s="144"/>
      <c r="L31" s="126" t="s">
        <v>49</v>
      </c>
      <c r="M31" s="123"/>
      <c r="N31" s="144"/>
      <c r="O31" s="126" t="s">
        <v>48</v>
      </c>
      <c r="P31" s="123"/>
      <c r="Q31" s="123"/>
      <c r="R31" s="123"/>
      <c r="S31" s="144"/>
      <c r="T31" s="126" t="s">
        <v>20</v>
      </c>
      <c r="U31" s="123"/>
      <c r="V31" s="123"/>
      <c r="W31" s="123"/>
      <c r="X31" s="144"/>
      <c r="Y31" s="126" t="s">
        <v>48</v>
      </c>
      <c r="Z31" s="123"/>
      <c r="AA31" s="123"/>
      <c r="AB31" s="123"/>
      <c r="AC31" s="144"/>
      <c r="AD31" s="126" t="s">
        <v>20</v>
      </c>
      <c r="AE31" s="123"/>
      <c r="AF31" s="123"/>
      <c r="AG31" s="123"/>
      <c r="AH31" s="144"/>
      <c r="AI31" s="126" t="s">
        <v>48</v>
      </c>
      <c r="AJ31" s="123"/>
      <c r="AK31" s="123"/>
      <c r="AL31" s="123"/>
      <c r="AM31" s="144"/>
      <c r="AN31" s="126" t="s">
        <v>20</v>
      </c>
      <c r="AO31" s="123"/>
      <c r="AP31" s="123"/>
      <c r="AQ31" s="123"/>
      <c r="AR31" s="144"/>
      <c r="AS31" s="126" t="s">
        <v>48</v>
      </c>
      <c r="AT31" s="123"/>
      <c r="AU31" s="123"/>
      <c r="AV31" s="123"/>
      <c r="AW31" s="144"/>
      <c r="AX31" s="126" t="s">
        <v>20</v>
      </c>
      <c r="AY31" s="123"/>
      <c r="AZ31" s="123"/>
      <c r="BA31" s="123"/>
      <c r="BB31" s="144"/>
      <c r="BC31" s="126" t="s">
        <v>48</v>
      </c>
      <c r="BD31" s="123"/>
      <c r="BE31" s="123"/>
      <c r="BF31" s="123"/>
      <c r="BG31" s="144"/>
      <c r="BH31" s="126" t="s">
        <v>20</v>
      </c>
      <c r="BI31" s="123"/>
      <c r="BJ31" s="123"/>
      <c r="BK31" s="123"/>
      <c r="BL31" s="144"/>
      <c r="BM31" s="126" t="s">
        <v>48</v>
      </c>
      <c r="BN31" s="123"/>
      <c r="BO31" s="123"/>
      <c r="BP31" s="123"/>
      <c r="BQ31" s="144"/>
      <c r="BR31" s="126" t="s">
        <v>20</v>
      </c>
      <c r="BS31" s="123"/>
      <c r="BT31" s="123"/>
      <c r="BU31" s="123"/>
      <c r="BV31" s="144"/>
      <c r="BW31" s="126" t="s">
        <v>48</v>
      </c>
      <c r="BX31" s="123"/>
      <c r="BY31" s="123"/>
      <c r="BZ31" s="123"/>
      <c r="CA31" s="144"/>
      <c r="CB31" s="126" t="s">
        <v>20</v>
      </c>
      <c r="CC31" s="123"/>
      <c r="CD31" s="123"/>
      <c r="CE31" s="123"/>
      <c r="CF31" s="144"/>
      <c r="CG31" s="126" t="s">
        <v>48</v>
      </c>
      <c r="CH31" s="123"/>
      <c r="CI31" s="123"/>
      <c r="CJ31" s="123"/>
      <c r="CK31" s="144"/>
      <c r="CL31" s="126" t="s">
        <v>20</v>
      </c>
      <c r="CM31" s="123"/>
      <c r="CN31" s="123"/>
      <c r="CO31" s="123"/>
      <c r="CP31" s="144"/>
      <c r="CQ31" s="126" t="s">
        <v>48</v>
      </c>
      <c r="CR31" s="123"/>
      <c r="CS31" s="123"/>
      <c r="CT31" s="123"/>
      <c r="CU31" s="144"/>
      <c r="CV31" s="126" t="s">
        <v>20</v>
      </c>
      <c r="CW31" s="123"/>
      <c r="CX31" s="123"/>
      <c r="CY31" s="123"/>
      <c r="CZ31" s="144"/>
      <c r="DA31" s="126" t="s">
        <v>48</v>
      </c>
      <c r="DB31" s="123"/>
      <c r="DC31" s="123"/>
      <c r="DD31" s="123"/>
      <c r="DE31" s="144"/>
      <c r="DF31" s="126" t="s">
        <v>20</v>
      </c>
      <c r="DG31" s="123"/>
      <c r="DH31" s="123"/>
      <c r="DI31" s="123"/>
      <c r="DJ31" s="124"/>
      <c r="DK31" s="66"/>
      <c r="DL31" s="122"/>
      <c r="DM31" s="123"/>
      <c r="DN31" s="123"/>
      <c r="DO31" s="123"/>
      <c r="DP31" s="123"/>
      <c r="DQ31" s="123"/>
      <c r="DR31" s="144"/>
      <c r="DS31" s="126"/>
      <c r="DT31" s="123"/>
      <c r="DU31" s="123"/>
      <c r="DV31" s="123"/>
      <c r="DW31" s="144"/>
      <c r="DX31" s="126"/>
      <c r="DY31" s="123"/>
      <c r="DZ31" s="123"/>
      <c r="EA31" s="123"/>
      <c r="EB31" s="124"/>
    </row>
    <row r="32" spans="1:139" x14ac:dyDescent="0.15">
      <c r="A32" s="52">
        <v>31</v>
      </c>
      <c r="B32" s="23"/>
      <c r="C32" s="145"/>
      <c r="D32" s="146"/>
      <c r="E32" s="146"/>
      <c r="F32" s="157"/>
      <c r="G32" s="122" t="s">
        <v>21</v>
      </c>
      <c r="H32" s="123"/>
      <c r="I32" s="123"/>
      <c r="J32" s="123"/>
      <c r="K32" s="144"/>
      <c r="L32" s="126"/>
      <c r="M32" s="123"/>
      <c r="N32" s="144"/>
      <c r="O32" s="126"/>
      <c r="P32" s="123"/>
      <c r="Q32" s="123"/>
      <c r="R32" s="123"/>
      <c r="S32" s="144"/>
      <c r="T32" s="126"/>
      <c r="U32" s="123"/>
      <c r="V32" s="123"/>
      <c r="W32" s="123"/>
      <c r="X32" s="144"/>
      <c r="Y32" s="126"/>
      <c r="Z32" s="123"/>
      <c r="AA32" s="123"/>
      <c r="AB32" s="123"/>
      <c r="AC32" s="144"/>
      <c r="AD32" s="126"/>
      <c r="AE32" s="123"/>
      <c r="AF32" s="123"/>
      <c r="AG32" s="123"/>
      <c r="AH32" s="144"/>
      <c r="AI32" s="126"/>
      <c r="AJ32" s="123"/>
      <c r="AK32" s="123"/>
      <c r="AL32" s="123"/>
      <c r="AM32" s="144"/>
      <c r="AN32" s="126"/>
      <c r="AO32" s="123"/>
      <c r="AP32" s="123"/>
      <c r="AQ32" s="123"/>
      <c r="AR32" s="144"/>
      <c r="AS32" s="126"/>
      <c r="AT32" s="123"/>
      <c r="AU32" s="123"/>
      <c r="AV32" s="123"/>
      <c r="AW32" s="144"/>
      <c r="AX32" s="126"/>
      <c r="AY32" s="123"/>
      <c r="AZ32" s="123"/>
      <c r="BA32" s="123"/>
      <c r="BB32" s="144"/>
      <c r="BC32" s="126"/>
      <c r="BD32" s="123"/>
      <c r="BE32" s="123"/>
      <c r="BF32" s="123"/>
      <c r="BG32" s="144"/>
      <c r="BH32" s="126"/>
      <c r="BI32" s="123"/>
      <c r="BJ32" s="123"/>
      <c r="BK32" s="123"/>
      <c r="BL32" s="144"/>
      <c r="BM32" s="126"/>
      <c r="BN32" s="123"/>
      <c r="BO32" s="123"/>
      <c r="BP32" s="123"/>
      <c r="BQ32" s="144"/>
      <c r="BR32" s="126"/>
      <c r="BS32" s="123"/>
      <c r="BT32" s="123"/>
      <c r="BU32" s="123"/>
      <c r="BV32" s="144"/>
      <c r="BW32" s="126"/>
      <c r="BX32" s="123"/>
      <c r="BY32" s="123"/>
      <c r="BZ32" s="123"/>
      <c r="CA32" s="144"/>
      <c r="CB32" s="126"/>
      <c r="CC32" s="123"/>
      <c r="CD32" s="123"/>
      <c r="CE32" s="123"/>
      <c r="CF32" s="144"/>
      <c r="CG32" s="126"/>
      <c r="CH32" s="123"/>
      <c r="CI32" s="123"/>
      <c r="CJ32" s="123"/>
      <c r="CK32" s="144"/>
      <c r="CL32" s="143"/>
      <c r="CM32" s="141"/>
      <c r="CN32" s="141"/>
      <c r="CO32" s="141"/>
      <c r="CP32" s="142"/>
      <c r="CQ32" s="126"/>
      <c r="CR32" s="123"/>
      <c r="CS32" s="123"/>
      <c r="CT32" s="123"/>
      <c r="CU32" s="144"/>
      <c r="CV32" s="126"/>
      <c r="CW32" s="123"/>
      <c r="CX32" s="123"/>
      <c r="CY32" s="123"/>
      <c r="CZ32" s="144"/>
      <c r="DA32" s="126"/>
      <c r="DB32" s="123"/>
      <c r="DC32" s="123"/>
      <c r="DD32" s="123"/>
      <c r="DE32" s="144"/>
      <c r="DF32" s="143"/>
      <c r="DG32" s="123"/>
      <c r="DH32" s="123"/>
      <c r="DI32" s="123"/>
      <c r="DJ32" s="124"/>
      <c r="DK32" s="66"/>
      <c r="DL32" s="82" t="s">
        <v>91</v>
      </c>
      <c r="DM32" s="66"/>
      <c r="DN32" s="66"/>
      <c r="DO32" s="66"/>
      <c r="DP32" s="66"/>
      <c r="DQ32" s="66"/>
      <c r="DR32" s="66"/>
      <c r="DS32" s="126"/>
      <c r="DT32" s="123"/>
      <c r="DU32" s="123"/>
      <c r="DV32" s="123"/>
      <c r="DW32" s="144"/>
      <c r="DX32" s="126"/>
      <c r="DY32" s="123"/>
      <c r="DZ32" s="123"/>
      <c r="EA32" s="123"/>
      <c r="EB32" s="124"/>
    </row>
    <row r="33" spans="1:134" x14ac:dyDescent="0.15">
      <c r="A33" s="53">
        <v>32</v>
      </c>
      <c r="B33" s="23"/>
      <c r="C33" s="47"/>
      <c r="D33" s="48"/>
      <c r="E33" s="48"/>
      <c r="F33" s="49"/>
      <c r="G33" s="122" t="s">
        <v>22</v>
      </c>
      <c r="H33" s="123"/>
      <c r="I33" s="123"/>
      <c r="J33" s="123"/>
      <c r="K33" s="144"/>
      <c r="L33" s="126"/>
      <c r="M33" s="123"/>
      <c r="N33" s="144"/>
      <c r="O33" s="126"/>
      <c r="P33" s="123"/>
      <c r="Q33" s="123"/>
      <c r="R33" s="123"/>
      <c r="S33" s="144"/>
      <c r="T33" s="126"/>
      <c r="U33" s="123"/>
      <c r="V33" s="123"/>
      <c r="W33" s="123"/>
      <c r="X33" s="144"/>
      <c r="Y33" s="126"/>
      <c r="Z33" s="123"/>
      <c r="AA33" s="123"/>
      <c r="AB33" s="123"/>
      <c r="AC33" s="144"/>
      <c r="AD33" s="126"/>
      <c r="AE33" s="123"/>
      <c r="AF33" s="123"/>
      <c r="AG33" s="123"/>
      <c r="AH33" s="144"/>
      <c r="AI33" s="126"/>
      <c r="AJ33" s="123"/>
      <c r="AK33" s="123"/>
      <c r="AL33" s="123"/>
      <c r="AM33" s="144"/>
      <c r="AN33" s="126"/>
      <c r="AO33" s="123"/>
      <c r="AP33" s="123"/>
      <c r="AQ33" s="123"/>
      <c r="AR33" s="144"/>
      <c r="AS33" s="126"/>
      <c r="AT33" s="123"/>
      <c r="AU33" s="123"/>
      <c r="AV33" s="123"/>
      <c r="AW33" s="144"/>
      <c r="AX33" s="126"/>
      <c r="AY33" s="123"/>
      <c r="AZ33" s="123"/>
      <c r="BA33" s="123"/>
      <c r="BB33" s="144"/>
      <c r="BC33" s="126"/>
      <c r="BD33" s="123"/>
      <c r="BE33" s="123"/>
      <c r="BF33" s="123"/>
      <c r="BG33" s="144"/>
      <c r="BH33" s="126"/>
      <c r="BI33" s="123"/>
      <c r="BJ33" s="123"/>
      <c r="BK33" s="123"/>
      <c r="BL33" s="144"/>
      <c r="BM33" s="126"/>
      <c r="BN33" s="123"/>
      <c r="BO33" s="123"/>
      <c r="BP33" s="123"/>
      <c r="BQ33" s="144"/>
      <c r="BR33" s="126"/>
      <c r="BS33" s="123"/>
      <c r="BT33" s="123"/>
      <c r="BU33" s="123"/>
      <c r="BV33" s="144"/>
      <c r="BW33" s="126"/>
      <c r="BX33" s="123"/>
      <c r="BY33" s="123"/>
      <c r="BZ33" s="123"/>
      <c r="CA33" s="144"/>
      <c r="CB33" s="126"/>
      <c r="CC33" s="123"/>
      <c r="CD33" s="123"/>
      <c r="CE33" s="123"/>
      <c r="CF33" s="144"/>
      <c r="CG33" s="126"/>
      <c r="CH33" s="123"/>
      <c r="CI33" s="123"/>
      <c r="CJ33" s="123"/>
      <c r="CK33" s="144"/>
      <c r="CL33" s="143"/>
      <c r="CM33" s="141"/>
      <c r="CN33" s="141"/>
      <c r="CO33" s="141"/>
      <c r="CP33" s="142"/>
      <c r="CQ33" s="126"/>
      <c r="CR33" s="123"/>
      <c r="CS33" s="123"/>
      <c r="CT33" s="123"/>
      <c r="CU33" s="144"/>
      <c r="CV33" s="126"/>
      <c r="CW33" s="123"/>
      <c r="CX33" s="123"/>
      <c r="CY33" s="123"/>
      <c r="CZ33" s="144"/>
      <c r="DA33" s="126"/>
      <c r="DB33" s="123"/>
      <c r="DC33" s="123"/>
      <c r="DD33" s="123"/>
      <c r="DE33" s="144"/>
      <c r="DF33" s="143"/>
      <c r="DG33" s="123"/>
      <c r="DH33" s="123"/>
      <c r="DI33" s="123"/>
      <c r="DJ33" s="124"/>
      <c r="DK33" s="66"/>
      <c r="DL33" s="122" t="s">
        <v>92</v>
      </c>
      <c r="DM33" s="123"/>
      <c r="DN33" s="123"/>
      <c r="DO33" s="123"/>
      <c r="DP33" s="123"/>
      <c r="DQ33" s="123"/>
      <c r="DR33" s="144"/>
      <c r="DS33" s="143">
        <v>170</v>
      </c>
      <c r="DT33" s="141"/>
      <c r="DU33" s="141"/>
      <c r="DV33" s="141"/>
      <c r="DW33" s="142"/>
      <c r="DX33" s="126" t="s">
        <v>79</v>
      </c>
      <c r="DY33" s="123"/>
      <c r="DZ33" s="123"/>
      <c r="EA33" s="123"/>
      <c r="EB33" s="124"/>
    </row>
    <row r="34" spans="1:134" x14ac:dyDescent="0.15">
      <c r="A34" s="53">
        <v>33</v>
      </c>
      <c r="B34" s="23"/>
      <c r="C34" s="47"/>
      <c r="D34" s="48"/>
      <c r="E34" s="48"/>
      <c r="F34" s="49"/>
      <c r="G34" s="122" t="s">
        <v>23</v>
      </c>
      <c r="H34" s="123"/>
      <c r="I34" s="123"/>
      <c r="J34" s="123"/>
      <c r="K34" s="144"/>
      <c r="L34" s="126"/>
      <c r="M34" s="123"/>
      <c r="N34" s="144"/>
      <c r="O34" s="126"/>
      <c r="P34" s="123"/>
      <c r="Q34" s="123"/>
      <c r="R34" s="123"/>
      <c r="S34" s="144"/>
      <c r="T34" s="126"/>
      <c r="U34" s="123"/>
      <c r="V34" s="123"/>
      <c r="W34" s="123"/>
      <c r="X34" s="144"/>
      <c r="Y34" s="126"/>
      <c r="Z34" s="123"/>
      <c r="AA34" s="123"/>
      <c r="AB34" s="123"/>
      <c r="AC34" s="144"/>
      <c r="AD34" s="126"/>
      <c r="AE34" s="123"/>
      <c r="AF34" s="123"/>
      <c r="AG34" s="123"/>
      <c r="AH34" s="144"/>
      <c r="AI34" s="126"/>
      <c r="AJ34" s="123"/>
      <c r="AK34" s="123"/>
      <c r="AL34" s="123"/>
      <c r="AM34" s="144"/>
      <c r="AN34" s="126"/>
      <c r="AO34" s="123"/>
      <c r="AP34" s="123"/>
      <c r="AQ34" s="123"/>
      <c r="AR34" s="144"/>
      <c r="AS34" s="126"/>
      <c r="AT34" s="123"/>
      <c r="AU34" s="123"/>
      <c r="AV34" s="123"/>
      <c r="AW34" s="144"/>
      <c r="AX34" s="126"/>
      <c r="AY34" s="123"/>
      <c r="AZ34" s="123"/>
      <c r="BA34" s="123"/>
      <c r="BB34" s="144"/>
      <c r="BC34" s="126"/>
      <c r="BD34" s="123"/>
      <c r="BE34" s="123"/>
      <c r="BF34" s="123"/>
      <c r="BG34" s="144"/>
      <c r="BH34" s="126"/>
      <c r="BI34" s="123"/>
      <c r="BJ34" s="123"/>
      <c r="BK34" s="123"/>
      <c r="BL34" s="144"/>
      <c r="BM34" s="126"/>
      <c r="BN34" s="123"/>
      <c r="BO34" s="123"/>
      <c r="BP34" s="123"/>
      <c r="BQ34" s="144"/>
      <c r="BR34" s="126"/>
      <c r="BS34" s="123"/>
      <c r="BT34" s="123"/>
      <c r="BU34" s="123"/>
      <c r="BV34" s="144"/>
      <c r="BW34" s="126"/>
      <c r="BX34" s="123"/>
      <c r="BY34" s="123"/>
      <c r="BZ34" s="123"/>
      <c r="CA34" s="144"/>
      <c r="CB34" s="126"/>
      <c r="CC34" s="123"/>
      <c r="CD34" s="123"/>
      <c r="CE34" s="123"/>
      <c r="CF34" s="144"/>
      <c r="CG34" s="126"/>
      <c r="CH34" s="123"/>
      <c r="CI34" s="123"/>
      <c r="CJ34" s="123"/>
      <c r="CK34" s="144"/>
      <c r="CL34" s="143"/>
      <c r="CM34" s="141"/>
      <c r="CN34" s="141"/>
      <c r="CO34" s="141"/>
      <c r="CP34" s="142"/>
      <c r="CQ34" s="126"/>
      <c r="CR34" s="123"/>
      <c r="CS34" s="123"/>
      <c r="CT34" s="123"/>
      <c r="CU34" s="144"/>
      <c r="CV34" s="126"/>
      <c r="CW34" s="123"/>
      <c r="CX34" s="123"/>
      <c r="CY34" s="123"/>
      <c r="CZ34" s="144"/>
      <c r="DA34" s="126"/>
      <c r="DB34" s="123"/>
      <c r="DC34" s="123"/>
      <c r="DD34" s="123"/>
      <c r="DE34" s="144"/>
      <c r="DF34" s="143"/>
      <c r="DG34" s="123"/>
      <c r="DH34" s="123"/>
      <c r="DI34" s="123"/>
      <c r="DJ34" s="124"/>
      <c r="DK34" s="66"/>
      <c r="DL34" s="122" t="s">
        <v>80</v>
      </c>
      <c r="DM34" s="123"/>
      <c r="DN34" s="123"/>
      <c r="DO34" s="123"/>
      <c r="DP34" s="123"/>
      <c r="DQ34" s="123"/>
      <c r="DR34" s="144"/>
      <c r="DS34" s="126">
        <v>5</v>
      </c>
      <c r="DT34" s="123"/>
      <c r="DU34" s="123"/>
      <c r="DV34" s="123"/>
      <c r="DW34" s="144"/>
      <c r="DX34" s="126" t="s">
        <v>75</v>
      </c>
      <c r="DY34" s="123"/>
      <c r="DZ34" s="123"/>
      <c r="EA34" s="123"/>
      <c r="EB34" s="124"/>
      <c r="ED34" s="75"/>
    </row>
    <row r="35" spans="1:134" x14ac:dyDescent="0.15">
      <c r="A35" s="53">
        <v>34</v>
      </c>
      <c r="B35" s="23"/>
      <c r="C35" s="47"/>
      <c r="D35" s="48"/>
      <c r="E35" s="48"/>
      <c r="F35" s="49"/>
      <c r="G35" s="122" t="s">
        <v>24</v>
      </c>
      <c r="H35" s="123"/>
      <c r="I35" s="123"/>
      <c r="J35" s="123"/>
      <c r="K35" s="144"/>
      <c r="L35" s="126"/>
      <c r="M35" s="123"/>
      <c r="N35" s="144"/>
      <c r="O35" s="126"/>
      <c r="P35" s="123"/>
      <c r="Q35" s="123"/>
      <c r="R35" s="123"/>
      <c r="S35" s="144"/>
      <c r="T35" s="126"/>
      <c r="U35" s="123"/>
      <c r="V35" s="123"/>
      <c r="W35" s="123"/>
      <c r="X35" s="144"/>
      <c r="Y35" s="126"/>
      <c r="Z35" s="123"/>
      <c r="AA35" s="123"/>
      <c r="AB35" s="123"/>
      <c r="AC35" s="144"/>
      <c r="AD35" s="126"/>
      <c r="AE35" s="123"/>
      <c r="AF35" s="123"/>
      <c r="AG35" s="123"/>
      <c r="AH35" s="144"/>
      <c r="AI35" s="126"/>
      <c r="AJ35" s="123"/>
      <c r="AK35" s="123"/>
      <c r="AL35" s="123"/>
      <c r="AM35" s="144"/>
      <c r="AN35" s="126"/>
      <c r="AO35" s="123"/>
      <c r="AP35" s="123"/>
      <c r="AQ35" s="123"/>
      <c r="AR35" s="144"/>
      <c r="AS35" s="126"/>
      <c r="AT35" s="123"/>
      <c r="AU35" s="123"/>
      <c r="AV35" s="123"/>
      <c r="AW35" s="144"/>
      <c r="AX35" s="126"/>
      <c r="AY35" s="123"/>
      <c r="AZ35" s="123"/>
      <c r="BA35" s="123"/>
      <c r="BB35" s="144"/>
      <c r="BC35" s="126"/>
      <c r="BD35" s="123"/>
      <c r="BE35" s="123"/>
      <c r="BF35" s="123"/>
      <c r="BG35" s="144"/>
      <c r="BH35" s="126"/>
      <c r="BI35" s="123"/>
      <c r="BJ35" s="123"/>
      <c r="BK35" s="123"/>
      <c r="BL35" s="144"/>
      <c r="BM35" s="126"/>
      <c r="BN35" s="123"/>
      <c r="BO35" s="123"/>
      <c r="BP35" s="123"/>
      <c r="BQ35" s="144"/>
      <c r="BR35" s="126"/>
      <c r="BS35" s="123"/>
      <c r="BT35" s="123"/>
      <c r="BU35" s="123"/>
      <c r="BV35" s="144"/>
      <c r="BW35" s="126"/>
      <c r="BX35" s="123"/>
      <c r="BY35" s="123"/>
      <c r="BZ35" s="123"/>
      <c r="CA35" s="144"/>
      <c r="CB35" s="126"/>
      <c r="CC35" s="123"/>
      <c r="CD35" s="123"/>
      <c r="CE35" s="123"/>
      <c r="CF35" s="144"/>
      <c r="CG35" s="126"/>
      <c r="CH35" s="123"/>
      <c r="CI35" s="123"/>
      <c r="CJ35" s="123"/>
      <c r="CK35" s="144"/>
      <c r="CL35" s="143"/>
      <c r="CM35" s="141"/>
      <c r="CN35" s="141"/>
      <c r="CO35" s="141"/>
      <c r="CP35" s="142"/>
      <c r="CQ35" s="126"/>
      <c r="CR35" s="123"/>
      <c r="CS35" s="123"/>
      <c r="CT35" s="123"/>
      <c r="CU35" s="144"/>
      <c r="CV35" s="126"/>
      <c r="CW35" s="123"/>
      <c r="CX35" s="123"/>
      <c r="CY35" s="123"/>
      <c r="CZ35" s="144"/>
      <c r="DA35" s="126"/>
      <c r="DB35" s="123"/>
      <c r="DC35" s="123"/>
      <c r="DD35" s="123"/>
      <c r="DE35" s="144"/>
      <c r="DF35" s="233"/>
      <c r="DG35" s="234"/>
      <c r="DH35" s="234"/>
      <c r="DI35" s="234"/>
      <c r="DJ35" s="235"/>
      <c r="DK35" s="66"/>
      <c r="DL35" s="122" t="s">
        <v>93</v>
      </c>
      <c r="DM35" s="123"/>
      <c r="DN35" s="123"/>
      <c r="DO35" s="123"/>
      <c r="DP35" s="123"/>
      <c r="DQ35" s="123"/>
      <c r="DR35" s="144"/>
      <c r="DS35" s="126">
        <f ca="1">DS33*DS42/DS34</f>
        <v>87.777563093360882</v>
      </c>
      <c r="DT35" s="123"/>
      <c r="DU35" s="123"/>
      <c r="DV35" s="123"/>
      <c r="DW35" s="144"/>
      <c r="DX35" s="126" t="s">
        <v>82</v>
      </c>
      <c r="DY35" s="123"/>
      <c r="DZ35" s="123"/>
      <c r="EA35" s="123"/>
      <c r="EB35" s="124"/>
      <c r="ED35" s="75"/>
    </row>
    <row r="36" spans="1:134" x14ac:dyDescent="0.15">
      <c r="A36" s="53">
        <v>35</v>
      </c>
      <c r="B36" s="23"/>
      <c r="C36" s="47"/>
      <c r="D36" s="48"/>
      <c r="E36" s="48"/>
      <c r="F36" s="49"/>
      <c r="G36" s="122" t="s">
        <v>25</v>
      </c>
      <c r="H36" s="123"/>
      <c r="I36" s="123"/>
      <c r="J36" s="123"/>
      <c r="K36" s="144"/>
      <c r="L36" s="126"/>
      <c r="M36" s="123"/>
      <c r="N36" s="144"/>
      <c r="O36" s="126"/>
      <c r="P36" s="123"/>
      <c r="Q36" s="123"/>
      <c r="R36" s="123"/>
      <c r="S36" s="144"/>
      <c r="T36" s="126"/>
      <c r="U36" s="123"/>
      <c r="V36" s="123"/>
      <c r="W36" s="123"/>
      <c r="X36" s="144"/>
      <c r="Y36" s="126"/>
      <c r="Z36" s="123"/>
      <c r="AA36" s="123"/>
      <c r="AB36" s="123"/>
      <c r="AC36" s="144"/>
      <c r="AD36" s="126"/>
      <c r="AE36" s="123"/>
      <c r="AF36" s="123"/>
      <c r="AG36" s="123"/>
      <c r="AH36" s="144"/>
      <c r="AI36" s="126"/>
      <c r="AJ36" s="123"/>
      <c r="AK36" s="123"/>
      <c r="AL36" s="123"/>
      <c r="AM36" s="144"/>
      <c r="AN36" s="126"/>
      <c r="AO36" s="123"/>
      <c r="AP36" s="123"/>
      <c r="AQ36" s="123"/>
      <c r="AR36" s="144"/>
      <c r="AS36" s="126"/>
      <c r="AT36" s="123"/>
      <c r="AU36" s="123"/>
      <c r="AV36" s="123"/>
      <c r="AW36" s="144"/>
      <c r="AX36" s="126"/>
      <c r="AY36" s="123"/>
      <c r="AZ36" s="123"/>
      <c r="BA36" s="123"/>
      <c r="BB36" s="144"/>
      <c r="BC36" s="126"/>
      <c r="BD36" s="123"/>
      <c r="BE36" s="123"/>
      <c r="BF36" s="123"/>
      <c r="BG36" s="144"/>
      <c r="BH36" s="126"/>
      <c r="BI36" s="123"/>
      <c r="BJ36" s="123"/>
      <c r="BK36" s="123"/>
      <c r="BL36" s="144"/>
      <c r="BM36" s="126"/>
      <c r="BN36" s="123"/>
      <c r="BO36" s="123"/>
      <c r="BP36" s="123"/>
      <c r="BQ36" s="144"/>
      <c r="BR36" s="126"/>
      <c r="BS36" s="123"/>
      <c r="BT36" s="123"/>
      <c r="BU36" s="123"/>
      <c r="BV36" s="144"/>
      <c r="BW36" s="126"/>
      <c r="BX36" s="123"/>
      <c r="BY36" s="123"/>
      <c r="BZ36" s="123"/>
      <c r="CA36" s="144"/>
      <c r="CB36" s="126"/>
      <c r="CC36" s="123"/>
      <c r="CD36" s="123"/>
      <c r="CE36" s="123"/>
      <c r="CF36" s="144"/>
      <c r="CG36" s="126"/>
      <c r="CH36" s="123"/>
      <c r="CI36" s="123"/>
      <c r="CJ36" s="123"/>
      <c r="CK36" s="144"/>
      <c r="CL36" s="143"/>
      <c r="CM36" s="141"/>
      <c r="CN36" s="141"/>
      <c r="CO36" s="141"/>
      <c r="CP36" s="142"/>
      <c r="CQ36" s="126"/>
      <c r="CR36" s="123"/>
      <c r="CS36" s="123"/>
      <c r="CT36" s="123"/>
      <c r="CU36" s="144"/>
      <c r="CV36" s="126"/>
      <c r="CW36" s="123"/>
      <c r="CX36" s="123"/>
      <c r="CY36" s="123"/>
      <c r="CZ36" s="144"/>
      <c r="DA36" s="126"/>
      <c r="DB36" s="123"/>
      <c r="DC36" s="123"/>
      <c r="DD36" s="123"/>
      <c r="DE36" s="144"/>
      <c r="DF36" s="143"/>
      <c r="DG36" s="123"/>
      <c r="DH36" s="123"/>
      <c r="DI36" s="123"/>
      <c r="DJ36" s="124"/>
      <c r="DK36" s="66"/>
      <c r="DL36" s="122" t="s">
        <v>96</v>
      </c>
      <c r="DM36" s="123"/>
      <c r="DN36" s="123"/>
      <c r="DO36" s="123"/>
      <c r="DP36" s="123"/>
      <c r="DQ36" s="123"/>
      <c r="DR36" s="144"/>
      <c r="DS36" s="126">
        <v>0.5</v>
      </c>
      <c r="DT36" s="123"/>
      <c r="DU36" s="123"/>
      <c r="DV36" s="123"/>
      <c r="DW36" s="144"/>
      <c r="DX36" s="220" t="s">
        <v>69</v>
      </c>
      <c r="DY36" s="221"/>
      <c r="DZ36" s="221"/>
      <c r="EA36" s="221"/>
      <c r="EB36" s="222"/>
      <c r="ED36" s="76"/>
    </row>
    <row r="37" spans="1:134" x14ac:dyDescent="0.15">
      <c r="A37" s="52">
        <v>36</v>
      </c>
      <c r="B37" s="23"/>
      <c r="C37" s="47"/>
      <c r="D37" s="48"/>
      <c r="E37" s="48"/>
      <c r="F37" s="49"/>
      <c r="G37" s="122" t="s">
        <v>26</v>
      </c>
      <c r="H37" s="123"/>
      <c r="I37" s="123"/>
      <c r="J37" s="123"/>
      <c r="K37" s="144"/>
      <c r="L37" s="126"/>
      <c r="M37" s="123"/>
      <c r="N37" s="144"/>
      <c r="O37" s="126"/>
      <c r="P37" s="123"/>
      <c r="Q37" s="123"/>
      <c r="R37" s="123"/>
      <c r="S37" s="144"/>
      <c r="T37" s="126"/>
      <c r="U37" s="123"/>
      <c r="V37" s="123"/>
      <c r="W37" s="123"/>
      <c r="X37" s="144"/>
      <c r="Y37" s="126"/>
      <c r="Z37" s="123"/>
      <c r="AA37" s="123"/>
      <c r="AB37" s="123"/>
      <c r="AC37" s="144"/>
      <c r="AD37" s="126"/>
      <c r="AE37" s="123"/>
      <c r="AF37" s="123"/>
      <c r="AG37" s="123"/>
      <c r="AH37" s="144"/>
      <c r="AI37" s="126"/>
      <c r="AJ37" s="123"/>
      <c r="AK37" s="123"/>
      <c r="AL37" s="123"/>
      <c r="AM37" s="144"/>
      <c r="AN37" s="126"/>
      <c r="AO37" s="123"/>
      <c r="AP37" s="123"/>
      <c r="AQ37" s="123"/>
      <c r="AR37" s="144"/>
      <c r="AS37" s="126"/>
      <c r="AT37" s="123"/>
      <c r="AU37" s="123"/>
      <c r="AV37" s="123"/>
      <c r="AW37" s="144"/>
      <c r="AX37" s="126"/>
      <c r="AY37" s="123"/>
      <c r="AZ37" s="123"/>
      <c r="BA37" s="123"/>
      <c r="BB37" s="144"/>
      <c r="BC37" s="126"/>
      <c r="BD37" s="123"/>
      <c r="BE37" s="123"/>
      <c r="BF37" s="123"/>
      <c r="BG37" s="144"/>
      <c r="BH37" s="126"/>
      <c r="BI37" s="123"/>
      <c r="BJ37" s="123"/>
      <c r="BK37" s="123"/>
      <c r="BL37" s="144"/>
      <c r="BM37" s="126"/>
      <c r="BN37" s="123"/>
      <c r="BO37" s="123"/>
      <c r="BP37" s="123"/>
      <c r="BQ37" s="144"/>
      <c r="BR37" s="126"/>
      <c r="BS37" s="123"/>
      <c r="BT37" s="123"/>
      <c r="BU37" s="123"/>
      <c r="BV37" s="144"/>
      <c r="BW37" s="126"/>
      <c r="BX37" s="123"/>
      <c r="BY37" s="123"/>
      <c r="BZ37" s="123"/>
      <c r="CA37" s="144"/>
      <c r="CB37" s="126"/>
      <c r="CC37" s="123"/>
      <c r="CD37" s="123"/>
      <c r="CE37" s="123"/>
      <c r="CF37" s="144"/>
      <c r="CG37" s="126"/>
      <c r="CH37" s="123"/>
      <c r="CI37" s="123"/>
      <c r="CJ37" s="123"/>
      <c r="CK37" s="144"/>
      <c r="CL37" s="143"/>
      <c r="CM37" s="141"/>
      <c r="CN37" s="141"/>
      <c r="CO37" s="141"/>
      <c r="CP37" s="142"/>
      <c r="CQ37" s="126"/>
      <c r="CR37" s="123"/>
      <c r="CS37" s="123"/>
      <c r="CT37" s="123"/>
      <c r="CU37" s="144"/>
      <c r="CV37" s="126"/>
      <c r="CW37" s="123"/>
      <c r="CX37" s="123"/>
      <c r="CY37" s="123"/>
      <c r="CZ37" s="144"/>
      <c r="DA37" s="126"/>
      <c r="DB37" s="123"/>
      <c r="DC37" s="123"/>
      <c r="DD37" s="123"/>
      <c r="DE37" s="144"/>
      <c r="DF37" s="143"/>
      <c r="DG37" s="123"/>
      <c r="DH37" s="123"/>
      <c r="DI37" s="123"/>
      <c r="DJ37" s="124"/>
      <c r="DK37" s="66"/>
      <c r="DL37" s="122" t="s">
        <v>94</v>
      </c>
      <c r="DM37" s="123"/>
      <c r="DN37" s="123"/>
      <c r="DO37" s="123"/>
      <c r="DP37" s="123"/>
      <c r="DQ37" s="123"/>
      <c r="DR37" s="144"/>
      <c r="DS37" s="126">
        <v>1</v>
      </c>
      <c r="DT37" s="123"/>
      <c r="DU37" s="123"/>
      <c r="DV37" s="123"/>
      <c r="DW37" s="144"/>
      <c r="DX37" s="126" t="s">
        <v>95</v>
      </c>
      <c r="DY37" s="123"/>
      <c r="DZ37" s="123"/>
      <c r="EA37" s="123"/>
      <c r="EB37" s="124"/>
      <c r="ED37" s="76"/>
    </row>
    <row r="38" spans="1:134" x14ac:dyDescent="0.15">
      <c r="A38" s="53">
        <v>37</v>
      </c>
      <c r="B38" s="23"/>
      <c r="C38" s="47"/>
      <c r="D38" s="48"/>
      <c r="E38" s="48"/>
      <c r="F38" s="49"/>
      <c r="G38" s="122" t="s">
        <v>27</v>
      </c>
      <c r="H38" s="123"/>
      <c r="I38" s="123"/>
      <c r="J38" s="123"/>
      <c r="K38" s="144"/>
      <c r="L38" s="126"/>
      <c r="M38" s="123"/>
      <c r="N38" s="144"/>
      <c r="O38" s="126"/>
      <c r="P38" s="123"/>
      <c r="Q38" s="123"/>
      <c r="R38" s="123"/>
      <c r="S38" s="144"/>
      <c r="T38" s="126"/>
      <c r="U38" s="123"/>
      <c r="V38" s="123"/>
      <c r="W38" s="123"/>
      <c r="X38" s="144"/>
      <c r="Y38" s="126"/>
      <c r="Z38" s="123"/>
      <c r="AA38" s="123"/>
      <c r="AB38" s="123"/>
      <c r="AC38" s="144"/>
      <c r="AD38" s="126"/>
      <c r="AE38" s="123"/>
      <c r="AF38" s="123"/>
      <c r="AG38" s="123"/>
      <c r="AH38" s="144"/>
      <c r="AI38" s="126"/>
      <c r="AJ38" s="123"/>
      <c r="AK38" s="123"/>
      <c r="AL38" s="123"/>
      <c r="AM38" s="144"/>
      <c r="AN38" s="126"/>
      <c r="AO38" s="123"/>
      <c r="AP38" s="123"/>
      <c r="AQ38" s="123"/>
      <c r="AR38" s="144"/>
      <c r="AS38" s="126"/>
      <c r="AT38" s="123"/>
      <c r="AU38" s="123"/>
      <c r="AV38" s="123"/>
      <c r="AW38" s="144"/>
      <c r="AX38" s="126"/>
      <c r="AY38" s="123"/>
      <c r="AZ38" s="123"/>
      <c r="BA38" s="123"/>
      <c r="BB38" s="144"/>
      <c r="BC38" s="126"/>
      <c r="BD38" s="123"/>
      <c r="BE38" s="123"/>
      <c r="BF38" s="123"/>
      <c r="BG38" s="144"/>
      <c r="BH38" s="126"/>
      <c r="BI38" s="123"/>
      <c r="BJ38" s="123"/>
      <c r="BK38" s="123"/>
      <c r="BL38" s="144"/>
      <c r="BM38" s="126"/>
      <c r="BN38" s="123"/>
      <c r="BO38" s="123"/>
      <c r="BP38" s="123"/>
      <c r="BQ38" s="144"/>
      <c r="BR38" s="126"/>
      <c r="BS38" s="123"/>
      <c r="BT38" s="123"/>
      <c r="BU38" s="123"/>
      <c r="BV38" s="144"/>
      <c r="BW38" s="126"/>
      <c r="BX38" s="123"/>
      <c r="BY38" s="123"/>
      <c r="BZ38" s="123"/>
      <c r="CA38" s="144"/>
      <c r="CB38" s="126"/>
      <c r="CC38" s="123"/>
      <c r="CD38" s="123"/>
      <c r="CE38" s="123"/>
      <c r="CF38" s="144"/>
      <c r="CG38" s="126"/>
      <c r="CH38" s="123"/>
      <c r="CI38" s="123"/>
      <c r="CJ38" s="123"/>
      <c r="CK38" s="144"/>
      <c r="CL38" s="143"/>
      <c r="CM38" s="141"/>
      <c r="CN38" s="141"/>
      <c r="CO38" s="141"/>
      <c r="CP38" s="142"/>
      <c r="CQ38" s="126"/>
      <c r="CR38" s="123"/>
      <c r="CS38" s="123"/>
      <c r="CT38" s="123"/>
      <c r="CU38" s="144"/>
      <c r="CV38" s="126"/>
      <c r="CW38" s="123"/>
      <c r="CX38" s="123"/>
      <c r="CY38" s="123"/>
      <c r="CZ38" s="144"/>
      <c r="DA38" s="126"/>
      <c r="DB38" s="123"/>
      <c r="DC38" s="123"/>
      <c r="DD38" s="123"/>
      <c r="DE38" s="144"/>
      <c r="DF38" s="143"/>
      <c r="DG38" s="123"/>
      <c r="DH38" s="123"/>
      <c r="DI38" s="123"/>
      <c r="DJ38" s="124"/>
      <c r="DK38" s="66"/>
      <c r="DL38" s="122" t="s">
        <v>103</v>
      </c>
      <c r="DM38" s="123"/>
      <c r="DN38" s="123"/>
      <c r="DO38" s="123"/>
      <c r="DP38" s="123"/>
      <c r="DQ38" s="123"/>
      <c r="DR38" s="144"/>
      <c r="DS38" s="126">
        <f>(DS37*PI()*(DS36)^2 /4)*60*60</f>
        <v>706.85834705770344</v>
      </c>
      <c r="DT38" s="123"/>
      <c r="DU38" s="123"/>
      <c r="DV38" s="123"/>
      <c r="DW38" s="144"/>
      <c r="DX38" s="126" t="s">
        <v>79</v>
      </c>
      <c r="DY38" s="123"/>
      <c r="DZ38" s="123"/>
      <c r="EA38" s="123"/>
      <c r="EB38" s="124"/>
      <c r="ED38" s="75"/>
    </row>
    <row r="39" spans="1:134" x14ac:dyDescent="0.15">
      <c r="A39" s="53">
        <v>38</v>
      </c>
      <c r="B39" s="23"/>
      <c r="C39" s="47"/>
      <c r="D39" s="48"/>
      <c r="E39" s="48"/>
      <c r="F39" s="49"/>
      <c r="G39" s="122" t="s">
        <v>34</v>
      </c>
      <c r="H39" s="123"/>
      <c r="I39" s="123"/>
      <c r="J39" s="123"/>
      <c r="K39" s="144"/>
      <c r="L39" s="126"/>
      <c r="M39" s="123"/>
      <c r="N39" s="144"/>
      <c r="O39" s="126"/>
      <c r="P39" s="123"/>
      <c r="Q39" s="123"/>
      <c r="R39" s="123"/>
      <c r="S39" s="144"/>
      <c r="T39" s="126"/>
      <c r="U39" s="123"/>
      <c r="V39" s="123"/>
      <c r="W39" s="123"/>
      <c r="X39" s="144"/>
      <c r="Y39" s="126"/>
      <c r="Z39" s="123"/>
      <c r="AA39" s="123"/>
      <c r="AB39" s="123"/>
      <c r="AC39" s="144"/>
      <c r="AD39" s="126"/>
      <c r="AE39" s="123"/>
      <c r="AF39" s="123"/>
      <c r="AG39" s="123"/>
      <c r="AH39" s="144"/>
      <c r="AI39" s="126"/>
      <c r="AJ39" s="123"/>
      <c r="AK39" s="123"/>
      <c r="AL39" s="123"/>
      <c r="AM39" s="144"/>
      <c r="AN39" s="126"/>
      <c r="AO39" s="123"/>
      <c r="AP39" s="123"/>
      <c r="AQ39" s="123"/>
      <c r="AR39" s="144"/>
      <c r="AS39" s="126"/>
      <c r="AT39" s="123"/>
      <c r="AU39" s="123"/>
      <c r="AV39" s="123"/>
      <c r="AW39" s="144"/>
      <c r="AX39" s="126"/>
      <c r="AY39" s="123"/>
      <c r="AZ39" s="123"/>
      <c r="BA39" s="123"/>
      <c r="BB39" s="144"/>
      <c r="BC39" s="126"/>
      <c r="BD39" s="123"/>
      <c r="BE39" s="123"/>
      <c r="BF39" s="123"/>
      <c r="BG39" s="144"/>
      <c r="BH39" s="126"/>
      <c r="BI39" s="123"/>
      <c r="BJ39" s="123"/>
      <c r="BK39" s="123"/>
      <c r="BL39" s="144"/>
      <c r="BM39" s="126"/>
      <c r="BN39" s="123"/>
      <c r="BO39" s="123"/>
      <c r="BP39" s="123"/>
      <c r="BQ39" s="144"/>
      <c r="BR39" s="126"/>
      <c r="BS39" s="123"/>
      <c r="BT39" s="123"/>
      <c r="BU39" s="123"/>
      <c r="BV39" s="144"/>
      <c r="BW39" s="126"/>
      <c r="BX39" s="123"/>
      <c r="BY39" s="123"/>
      <c r="BZ39" s="123"/>
      <c r="CA39" s="144"/>
      <c r="CB39" s="126"/>
      <c r="CC39" s="123"/>
      <c r="CD39" s="123"/>
      <c r="CE39" s="123"/>
      <c r="CF39" s="144"/>
      <c r="CG39" s="126"/>
      <c r="CH39" s="123"/>
      <c r="CI39" s="123"/>
      <c r="CJ39" s="123"/>
      <c r="CK39" s="144"/>
      <c r="CL39" s="143"/>
      <c r="CM39" s="141"/>
      <c r="CN39" s="141"/>
      <c r="CO39" s="141"/>
      <c r="CP39" s="142"/>
      <c r="CQ39" s="126"/>
      <c r="CR39" s="123"/>
      <c r="CS39" s="123"/>
      <c r="CT39" s="123"/>
      <c r="CU39" s="144"/>
      <c r="CV39" s="126"/>
      <c r="CW39" s="123"/>
      <c r="CX39" s="123"/>
      <c r="CY39" s="123"/>
      <c r="CZ39" s="144"/>
      <c r="DA39" s="126"/>
      <c r="DB39" s="123"/>
      <c r="DC39" s="123"/>
      <c r="DD39" s="123"/>
      <c r="DE39" s="144"/>
      <c r="DF39" s="143"/>
      <c r="DG39" s="123"/>
      <c r="DH39" s="123"/>
      <c r="DI39" s="123"/>
      <c r="DJ39" s="124"/>
      <c r="DK39" s="66"/>
      <c r="DL39" s="122" t="s">
        <v>100</v>
      </c>
      <c r="DM39" s="123"/>
      <c r="DN39" s="123"/>
      <c r="DO39" s="123"/>
      <c r="DP39" s="123"/>
      <c r="DQ39" s="123"/>
      <c r="DR39" s="144"/>
      <c r="DS39" s="126">
        <f ca="1">DS35/DS38</f>
        <v>0.12417984941216982</v>
      </c>
      <c r="DT39" s="123"/>
      <c r="DU39" s="123"/>
      <c r="DV39" s="123"/>
      <c r="DW39" s="144"/>
      <c r="DX39" s="123" t="s">
        <v>81</v>
      </c>
      <c r="DY39" s="123"/>
      <c r="DZ39" s="123"/>
      <c r="EA39" s="123"/>
      <c r="EB39" s="124"/>
      <c r="ED39" s="75"/>
    </row>
    <row r="40" spans="1:134" x14ac:dyDescent="0.15">
      <c r="A40" s="53">
        <v>39</v>
      </c>
      <c r="B40" s="23"/>
      <c r="C40" s="47"/>
      <c r="D40" s="48"/>
      <c r="E40" s="48"/>
      <c r="F40" s="49"/>
      <c r="G40" s="122" t="s">
        <v>35</v>
      </c>
      <c r="H40" s="123"/>
      <c r="I40" s="123"/>
      <c r="J40" s="123"/>
      <c r="K40" s="144"/>
      <c r="L40" s="126"/>
      <c r="M40" s="123"/>
      <c r="N40" s="144"/>
      <c r="O40" s="126"/>
      <c r="P40" s="123"/>
      <c r="Q40" s="123"/>
      <c r="R40" s="123"/>
      <c r="S40" s="144"/>
      <c r="T40" s="126"/>
      <c r="U40" s="123"/>
      <c r="V40" s="123"/>
      <c r="W40" s="123"/>
      <c r="X40" s="144"/>
      <c r="Y40" s="126"/>
      <c r="Z40" s="123"/>
      <c r="AA40" s="123"/>
      <c r="AB40" s="123"/>
      <c r="AC40" s="144"/>
      <c r="AD40" s="126"/>
      <c r="AE40" s="123"/>
      <c r="AF40" s="123"/>
      <c r="AG40" s="123"/>
      <c r="AH40" s="144"/>
      <c r="AI40" s="126"/>
      <c r="AJ40" s="123"/>
      <c r="AK40" s="123"/>
      <c r="AL40" s="123"/>
      <c r="AM40" s="144"/>
      <c r="AN40" s="126"/>
      <c r="AO40" s="123"/>
      <c r="AP40" s="123"/>
      <c r="AQ40" s="123"/>
      <c r="AR40" s="144"/>
      <c r="AS40" s="126"/>
      <c r="AT40" s="123"/>
      <c r="AU40" s="123"/>
      <c r="AV40" s="123"/>
      <c r="AW40" s="144"/>
      <c r="AX40" s="126"/>
      <c r="AY40" s="123"/>
      <c r="AZ40" s="123"/>
      <c r="BA40" s="123"/>
      <c r="BB40" s="144"/>
      <c r="BC40" s="126"/>
      <c r="BD40" s="123"/>
      <c r="BE40" s="123"/>
      <c r="BF40" s="123"/>
      <c r="BG40" s="144"/>
      <c r="BH40" s="126"/>
      <c r="BI40" s="123"/>
      <c r="BJ40" s="123"/>
      <c r="BK40" s="123"/>
      <c r="BL40" s="144"/>
      <c r="BM40" s="126"/>
      <c r="BN40" s="123"/>
      <c r="BO40" s="123"/>
      <c r="BP40" s="123"/>
      <c r="BQ40" s="144"/>
      <c r="BR40" s="126"/>
      <c r="BS40" s="123"/>
      <c r="BT40" s="123"/>
      <c r="BU40" s="123"/>
      <c r="BV40" s="144"/>
      <c r="BW40" s="126"/>
      <c r="BX40" s="123"/>
      <c r="BY40" s="123"/>
      <c r="BZ40" s="123"/>
      <c r="CA40" s="144"/>
      <c r="CB40" s="126"/>
      <c r="CC40" s="123"/>
      <c r="CD40" s="123"/>
      <c r="CE40" s="123"/>
      <c r="CF40" s="144"/>
      <c r="CG40" s="126"/>
      <c r="CH40" s="123"/>
      <c r="CI40" s="123"/>
      <c r="CJ40" s="123"/>
      <c r="CK40" s="144"/>
      <c r="CL40" s="143"/>
      <c r="CM40" s="141"/>
      <c r="CN40" s="141"/>
      <c r="CO40" s="141"/>
      <c r="CP40" s="142"/>
      <c r="CQ40" s="126"/>
      <c r="CR40" s="123"/>
      <c r="CS40" s="123"/>
      <c r="CT40" s="123"/>
      <c r="CU40" s="144"/>
      <c r="CV40" s="126"/>
      <c r="CW40" s="123"/>
      <c r="CX40" s="123"/>
      <c r="CY40" s="123"/>
      <c r="CZ40" s="144"/>
      <c r="DA40" s="126"/>
      <c r="DB40" s="123"/>
      <c r="DC40" s="123"/>
      <c r="DD40" s="123"/>
      <c r="DE40" s="144"/>
      <c r="DF40" s="143"/>
      <c r="DG40" s="123"/>
      <c r="DH40" s="123"/>
      <c r="DI40" s="123"/>
      <c r="DJ40" s="124"/>
      <c r="DK40" s="66"/>
      <c r="DL40" s="122" t="s">
        <v>97</v>
      </c>
      <c r="DM40" s="123"/>
      <c r="DN40" s="123"/>
      <c r="DO40" s="123"/>
      <c r="DP40" s="123"/>
      <c r="DQ40" s="123"/>
      <c r="DR40" s="144"/>
      <c r="DS40" s="126">
        <v>1.5</v>
      </c>
      <c r="DT40" s="123"/>
      <c r="DU40" s="123"/>
      <c r="DV40" s="123"/>
      <c r="DW40" s="144"/>
      <c r="DX40" s="123" t="s">
        <v>81</v>
      </c>
      <c r="DY40" s="123"/>
      <c r="DZ40" s="123"/>
      <c r="EA40" s="123"/>
      <c r="EB40" s="124"/>
      <c r="ED40" s="75"/>
    </row>
    <row r="41" spans="1:134" x14ac:dyDescent="0.15">
      <c r="A41" s="53">
        <v>40</v>
      </c>
      <c r="B41" s="23"/>
      <c r="C41" s="47"/>
      <c r="D41" s="48"/>
      <c r="E41" s="48"/>
      <c r="F41" s="49"/>
      <c r="G41" s="122" t="s">
        <v>36</v>
      </c>
      <c r="H41" s="123"/>
      <c r="I41" s="123"/>
      <c r="J41" s="123"/>
      <c r="K41" s="144"/>
      <c r="L41" s="126"/>
      <c r="M41" s="123"/>
      <c r="N41" s="144"/>
      <c r="O41" s="126"/>
      <c r="P41" s="123"/>
      <c r="Q41" s="123"/>
      <c r="R41" s="123"/>
      <c r="S41" s="144"/>
      <c r="T41" s="126"/>
      <c r="U41" s="123"/>
      <c r="V41" s="123"/>
      <c r="W41" s="123"/>
      <c r="X41" s="144"/>
      <c r="Y41" s="126"/>
      <c r="Z41" s="123"/>
      <c r="AA41" s="123"/>
      <c r="AB41" s="123"/>
      <c r="AC41" s="144"/>
      <c r="AD41" s="126"/>
      <c r="AE41" s="123"/>
      <c r="AF41" s="123"/>
      <c r="AG41" s="123"/>
      <c r="AH41" s="144"/>
      <c r="AI41" s="126"/>
      <c r="AJ41" s="123"/>
      <c r="AK41" s="123"/>
      <c r="AL41" s="123"/>
      <c r="AM41" s="144"/>
      <c r="AN41" s="126"/>
      <c r="AO41" s="123"/>
      <c r="AP41" s="123"/>
      <c r="AQ41" s="123"/>
      <c r="AR41" s="144"/>
      <c r="AS41" s="126"/>
      <c r="AT41" s="123"/>
      <c r="AU41" s="123"/>
      <c r="AV41" s="123"/>
      <c r="AW41" s="144"/>
      <c r="AX41" s="126"/>
      <c r="AY41" s="123"/>
      <c r="AZ41" s="123"/>
      <c r="BA41" s="123"/>
      <c r="BB41" s="144"/>
      <c r="BC41" s="126"/>
      <c r="BD41" s="123"/>
      <c r="BE41" s="123"/>
      <c r="BF41" s="123"/>
      <c r="BG41" s="144"/>
      <c r="BH41" s="126"/>
      <c r="BI41" s="123"/>
      <c r="BJ41" s="123"/>
      <c r="BK41" s="123"/>
      <c r="BL41" s="144"/>
      <c r="BM41" s="126"/>
      <c r="BN41" s="123"/>
      <c r="BO41" s="123"/>
      <c r="BP41" s="123"/>
      <c r="BQ41" s="144"/>
      <c r="BR41" s="126"/>
      <c r="BS41" s="123"/>
      <c r="BT41" s="123"/>
      <c r="BU41" s="123"/>
      <c r="BV41" s="144"/>
      <c r="BW41" s="126"/>
      <c r="BX41" s="123"/>
      <c r="BY41" s="123"/>
      <c r="BZ41" s="123"/>
      <c r="CA41" s="144"/>
      <c r="CB41" s="126"/>
      <c r="CC41" s="123"/>
      <c r="CD41" s="123"/>
      <c r="CE41" s="123"/>
      <c r="CF41" s="144"/>
      <c r="CG41" s="126"/>
      <c r="CH41" s="123"/>
      <c r="CI41" s="123"/>
      <c r="CJ41" s="123"/>
      <c r="CK41" s="144"/>
      <c r="CL41" s="143"/>
      <c r="CM41" s="141"/>
      <c r="CN41" s="141"/>
      <c r="CO41" s="141"/>
      <c r="CP41" s="142"/>
      <c r="CQ41" s="126"/>
      <c r="CR41" s="123"/>
      <c r="CS41" s="123"/>
      <c r="CT41" s="123"/>
      <c r="CU41" s="144"/>
      <c r="CV41" s="126"/>
      <c r="CW41" s="123"/>
      <c r="CX41" s="123"/>
      <c r="CY41" s="123"/>
      <c r="CZ41" s="144"/>
      <c r="DA41" s="126"/>
      <c r="DB41" s="123"/>
      <c r="DC41" s="123"/>
      <c r="DD41" s="123"/>
      <c r="DE41" s="144"/>
      <c r="DF41" s="143"/>
      <c r="DG41" s="123"/>
      <c r="DH41" s="123"/>
      <c r="DI41" s="123"/>
      <c r="DJ41" s="124"/>
      <c r="DK41" s="66"/>
      <c r="DL41" s="122" t="s">
        <v>98</v>
      </c>
      <c r="DM41" s="123"/>
      <c r="DN41" s="123"/>
      <c r="DO41" s="123"/>
      <c r="DP41" s="123"/>
      <c r="DQ41" s="123"/>
      <c r="DR41" s="144"/>
      <c r="DS41" s="126">
        <f>5/6</f>
        <v>0.83333333333333337</v>
      </c>
      <c r="DT41" s="123"/>
      <c r="DU41" s="123"/>
      <c r="DV41" s="123"/>
      <c r="DW41" s="144"/>
      <c r="DX41" s="123" t="s">
        <v>81</v>
      </c>
      <c r="DY41" s="123"/>
      <c r="DZ41" s="123"/>
      <c r="EA41" s="123"/>
      <c r="EB41" s="124"/>
      <c r="ED41" s="75"/>
    </row>
    <row r="42" spans="1:134" x14ac:dyDescent="0.15">
      <c r="A42" s="52">
        <v>41</v>
      </c>
      <c r="B42" s="23"/>
      <c r="C42" s="47"/>
      <c r="D42" s="48"/>
      <c r="E42" s="48"/>
      <c r="F42" s="49"/>
      <c r="G42" s="122" t="s">
        <v>47</v>
      </c>
      <c r="H42" s="123"/>
      <c r="I42" s="123"/>
      <c r="J42" s="123"/>
      <c r="K42" s="144"/>
      <c r="L42" s="126"/>
      <c r="M42" s="123"/>
      <c r="N42" s="144"/>
      <c r="O42" s="126"/>
      <c r="P42" s="123"/>
      <c r="Q42" s="123"/>
      <c r="R42" s="123"/>
      <c r="S42" s="144"/>
      <c r="T42" s="126"/>
      <c r="U42" s="123"/>
      <c r="V42" s="123"/>
      <c r="W42" s="123"/>
      <c r="X42" s="144"/>
      <c r="Y42" s="126"/>
      <c r="Z42" s="123"/>
      <c r="AA42" s="123"/>
      <c r="AB42" s="123"/>
      <c r="AC42" s="144"/>
      <c r="AD42" s="143"/>
      <c r="AE42" s="123"/>
      <c r="AF42" s="123"/>
      <c r="AG42" s="123"/>
      <c r="AH42" s="144"/>
      <c r="AI42" s="126"/>
      <c r="AJ42" s="123"/>
      <c r="AK42" s="123"/>
      <c r="AL42" s="123"/>
      <c r="AM42" s="144"/>
      <c r="AN42" s="126"/>
      <c r="AO42" s="123"/>
      <c r="AP42" s="123"/>
      <c r="AQ42" s="123"/>
      <c r="AR42" s="144"/>
      <c r="AS42" s="126"/>
      <c r="AT42" s="123"/>
      <c r="AU42" s="123"/>
      <c r="AV42" s="123"/>
      <c r="AW42" s="144"/>
      <c r="AX42" s="126"/>
      <c r="AY42" s="123"/>
      <c r="AZ42" s="123"/>
      <c r="BA42" s="123"/>
      <c r="BB42" s="144"/>
      <c r="BC42" s="126"/>
      <c r="BD42" s="123"/>
      <c r="BE42" s="123"/>
      <c r="BF42" s="123"/>
      <c r="BG42" s="144"/>
      <c r="BH42" s="126"/>
      <c r="BI42" s="123"/>
      <c r="BJ42" s="123"/>
      <c r="BK42" s="123"/>
      <c r="BL42" s="144"/>
      <c r="BM42" s="126"/>
      <c r="BN42" s="123"/>
      <c r="BO42" s="123"/>
      <c r="BP42" s="123"/>
      <c r="BQ42" s="144"/>
      <c r="BR42" s="126"/>
      <c r="BS42" s="123"/>
      <c r="BT42" s="123"/>
      <c r="BU42" s="123"/>
      <c r="BV42" s="144"/>
      <c r="BW42" s="126"/>
      <c r="BX42" s="123"/>
      <c r="BY42" s="123"/>
      <c r="BZ42" s="123"/>
      <c r="CA42" s="144"/>
      <c r="CB42" s="126"/>
      <c r="CC42" s="123"/>
      <c r="CD42" s="123"/>
      <c r="CE42" s="123"/>
      <c r="CF42" s="144"/>
      <c r="CG42" s="126"/>
      <c r="CH42" s="123"/>
      <c r="CI42" s="123"/>
      <c r="CJ42" s="123"/>
      <c r="CK42" s="144"/>
      <c r="CL42" s="143"/>
      <c r="CM42" s="141"/>
      <c r="CN42" s="141"/>
      <c r="CO42" s="141"/>
      <c r="CP42" s="142"/>
      <c r="CQ42" s="126"/>
      <c r="CR42" s="123"/>
      <c r="CS42" s="123"/>
      <c r="CT42" s="123"/>
      <c r="CU42" s="144"/>
      <c r="CV42" s="126"/>
      <c r="CW42" s="123"/>
      <c r="CX42" s="123"/>
      <c r="CY42" s="123"/>
      <c r="CZ42" s="144"/>
      <c r="DA42" s="126"/>
      <c r="DB42" s="123"/>
      <c r="DC42" s="123"/>
      <c r="DD42" s="123"/>
      <c r="DE42" s="144"/>
      <c r="DF42" s="143"/>
      <c r="DG42" s="123"/>
      <c r="DH42" s="123"/>
      <c r="DI42" s="123"/>
      <c r="DJ42" s="124"/>
      <c r="DK42" s="66"/>
      <c r="DL42" s="122" t="s">
        <v>99</v>
      </c>
      <c r="DM42" s="123"/>
      <c r="DN42" s="123"/>
      <c r="DO42" s="123"/>
      <c r="DP42" s="123"/>
      <c r="DQ42" s="123"/>
      <c r="DR42" s="144"/>
      <c r="DS42" s="126">
        <f ca="1">2*DS39+DS40+DS41</f>
        <v>2.581693032157673</v>
      </c>
      <c r="DT42" s="123"/>
      <c r="DU42" s="123"/>
      <c r="DV42" s="123"/>
      <c r="DW42" s="144"/>
      <c r="DX42" s="123" t="s">
        <v>81</v>
      </c>
      <c r="DY42" s="123"/>
      <c r="DZ42" s="123"/>
      <c r="EA42" s="123"/>
      <c r="EB42" s="124"/>
      <c r="ED42" s="75"/>
    </row>
    <row r="43" spans="1:134" x14ac:dyDescent="0.15">
      <c r="A43" s="53">
        <v>42</v>
      </c>
      <c r="B43" s="23"/>
      <c r="C43" s="47"/>
      <c r="D43" s="48"/>
      <c r="E43" s="48"/>
      <c r="F43" s="49"/>
      <c r="G43" s="122" t="s">
        <v>50</v>
      </c>
      <c r="H43" s="123"/>
      <c r="I43" s="123"/>
      <c r="J43" s="123"/>
      <c r="K43" s="144"/>
      <c r="L43" s="126"/>
      <c r="M43" s="123"/>
      <c r="N43" s="144"/>
      <c r="O43" s="126"/>
      <c r="P43" s="123"/>
      <c r="Q43" s="123"/>
      <c r="R43" s="123"/>
      <c r="S43" s="144"/>
      <c r="T43" s="126"/>
      <c r="U43" s="123"/>
      <c r="V43" s="123"/>
      <c r="W43" s="123"/>
      <c r="X43" s="144"/>
      <c r="Y43" s="126"/>
      <c r="Z43" s="123"/>
      <c r="AA43" s="123"/>
      <c r="AB43" s="123"/>
      <c r="AC43" s="144"/>
      <c r="AD43" s="126"/>
      <c r="AE43" s="123"/>
      <c r="AF43" s="123"/>
      <c r="AG43" s="123"/>
      <c r="AH43" s="144"/>
      <c r="AI43" s="126"/>
      <c r="AJ43" s="123"/>
      <c r="AK43" s="123"/>
      <c r="AL43" s="123"/>
      <c r="AM43" s="144"/>
      <c r="AN43" s="126"/>
      <c r="AO43" s="123"/>
      <c r="AP43" s="123"/>
      <c r="AQ43" s="123"/>
      <c r="AR43" s="144"/>
      <c r="AS43" s="126"/>
      <c r="AT43" s="123"/>
      <c r="AU43" s="123"/>
      <c r="AV43" s="123"/>
      <c r="AW43" s="144"/>
      <c r="AX43" s="126"/>
      <c r="AY43" s="123"/>
      <c r="AZ43" s="123"/>
      <c r="BA43" s="123"/>
      <c r="BB43" s="144"/>
      <c r="BC43" s="126"/>
      <c r="BD43" s="123"/>
      <c r="BE43" s="123"/>
      <c r="BF43" s="123"/>
      <c r="BG43" s="144"/>
      <c r="BH43" s="126"/>
      <c r="BI43" s="123"/>
      <c r="BJ43" s="123"/>
      <c r="BK43" s="123"/>
      <c r="BL43" s="144"/>
      <c r="BM43" s="126"/>
      <c r="BN43" s="123"/>
      <c r="BO43" s="123"/>
      <c r="BP43" s="123"/>
      <c r="BQ43" s="144"/>
      <c r="BR43" s="126"/>
      <c r="BS43" s="123"/>
      <c r="BT43" s="123"/>
      <c r="BU43" s="123"/>
      <c r="BV43" s="144"/>
      <c r="BW43" s="126"/>
      <c r="BX43" s="123"/>
      <c r="BY43" s="123"/>
      <c r="BZ43" s="123"/>
      <c r="CA43" s="144"/>
      <c r="CB43" s="126"/>
      <c r="CC43" s="123"/>
      <c r="CD43" s="123"/>
      <c r="CE43" s="123"/>
      <c r="CF43" s="144"/>
      <c r="CG43" s="126"/>
      <c r="CH43" s="123"/>
      <c r="CI43" s="123"/>
      <c r="CJ43" s="123"/>
      <c r="CK43" s="144"/>
      <c r="CL43" s="143"/>
      <c r="CM43" s="141"/>
      <c r="CN43" s="141"/>
      <c r="CO43" s="141"/>
      <c r="CP43" s="142"/>
      <c r="CQ43" s="126"/>
      <c r="CR43" s="123"/>
      <c r="CS43" s="123"/>
      <c r="CT43" s="123"/>
      <c r="CU43" s="144"/>
      <c r="CV43" s="126"/>
      <c r="CW43" s="123"/>
      <c r="CX43" s="123"/>
      <c r="CY43" s="123"/>
      <c r="CZ43" s="144"/>
      <c r="DA43" s="126"/>
      <c r="DB43" s="123"/>
      <c r="DC43" s="123"/>
      <c r="DD43" s="123"/>
      <c r="DE43" s="144"/>
      <c r="DF43" s="143"/>
      <c r="DG43" s="123"/>
      <c r="DH43" s="123"/>
      <c r="DI43" s="123"/>
      <c r="DJ43" s="124"/>
      <c r="DK43" s="66"/>
      <c r="DL43" s="122" t="s">
        <v>101</v>
      </c>
      <c r="DM43" s="123"/>
      <c r="DN43" s="123"/>
      <c r="DO43" s="123"/>
      <c r="DP43" s="123"/>
      <c r="DQ43" s="123"/>
      <c r="DR43" s="144"/>
      <c r="DS43" s="126">
        <f ca="1">DS35/DS42</f>
        <v>34</v>
      </c>
      <c r="DT43" s="123"/>
      <c r="DU43" s="123"/>
      <c r="DV43" s="123"/>
      <c r="DW43" s="144"/>
      <c r="DX43" s="123" t="s">
        <v>79</v>
      </c>
      <c r="DY43" s="123"/>
      <c r="DZ43" s="123"/>
      <c r="EA43" s="123"/>
      <c r="EB43" s="124"/>
      <c r="ED43" s="75"/>
    </row>
    <row r="44" spans="1:134" x14ac:dyDescent="0.15">
      <c r="A44" s="53">
        <v>43</v>
      </c>
      <c r="B44" s="23"/>
      <c r="C44" s="47"/>
      <c r="D44" s="48"/>
      <c r="E44" s="48"/>
      <c r="F44" s="49"/>
      <c r="G44" s="122" t="s">
        <v>59</v>
      </c>
      <c r="H44" s="123"/>
      <c r="I44" s="123"/>
      <c r="J44" s="123"/>
      <c r="K44" s="144"/>
      <c r="L44" s="126"/>
      <c r="M44" s="123"/>
      <c r="N44" s="144"/>
      <c r="O44" s="143"/>
      <c r="P44" s="141"/>
      <c r="Q44" s="141"/>
      <c r="R44" s="141"/>
      <c r="S44" s="142"/>
      <c r="T44" s="143"/>
      <c r="U44" s="141"/>
      <c r="V44" s="141"/>
      <c r="W44" s="141"/>
      <c r="X44" s="142"/>
      <c r="Y44" s="143"/>
      <c r="Z44" s="141"/>
      <c r="AA44" s="141"/>
      <c r="AB44" s="141"/>
      <c r="AC44" s="142"/>
      <c r="AD44" s="143"/>
      <c r="AE44" s="141"/>
      <c r="AF44" s="141"/>
      <c r="AG44" s="141"/>
      <c r="AH44" s="142"/>
      <c r="AI44" s="143"/>
      <c r="AJ44" s="141"/>
      <c r="AK44" s="141"/>
      <c r="AL44" s="141"/>
      <c r="AM44" s="142"/>
      <c r="AN44" s="143"/>
      <c r="AO44" s="141"/>
      <c r="AP44" s="141"/>
      <c r="AQ44" s="141"/>
      <c r="AR44" s="142"/>
      <c r="AS44" s="143"/>
      <c r="AT44" s="141"/>
      <c r="AU44" s="141"/>
      <c r="AV44" s="141"/>
      <c r="AW44" s="142"/>
      <c r="AX44" s="143"/>
      <c r="AY44" s="141"/>
      <c r="AZ44" s="141"/>
      <c r="BA44" s="141"/>
      <c r="BB44" s="142"/>
      <c r="BC44" s="126"/>
      <c r="BD44" s="123"/>
      <c r="BE44" s="123"/>
      <c r="BF44" s="123"/>
      <c r="BG44" s="144"/>
      <c r="BH44" s="126"/>
      <c r="BI44" s="123"/>
      <c r="BJ44" s="123"/>
      <c r="BK44" s="123"/>
      <c r="BL44" s="144"/>
      <c r="BM44" s="126"/>
      <c r="BN44" s="123"/>
      <c r="BO44" s="123"/>
      <c r="BP44" s="123"/>
      <c r="BQ44" s="144"/>
      <c r="BR44" s="126"/>
      <c r="BS44" s="123"/>
      <c r="BT44" s="123"/>
      <c r="BU44" s="123"/>
      <c r="BV44" s="144"/>
      <c r="BW44" s="126"/>
      <c r="BX44" s="123"/>
      <c r="BY44" s="123"/>
      <c r="BZ44" s="123"/>
      <c r="CA44" s="144"/>
      <c r="CB44" s="126"/>
      <c r="CC44" s="123"/>
      <c r="CD44" s="123"/>
      <c r="CE44" s="123"/>
      <c r="CF44" s="144"/>
      <c r="CG44" s="126"/>
      <c r="CH44" s="123"/>
      <c r="CI44" s="123"/>
      <c r="CJ44" s="123"/>
      <c r="CK44" s="144"/>
      <c r="CL44" s="143"/>
      <c r="CM44" s="141"/>
      <c r="CN44" s="141"/>
      <c r="CO44" s="141"/>
      <c r="CP44" s="142"/>
      <c r="CQ44" s="126"/>
      <c r="CR44" s="123"/>
      <c r="CS44" s="123"/>
      <c r="CT44" s="123"/>
      <c r="CU44" s="144"/>
      <c r="CV44" s="126"/>
      <c r="CW44" s="123"/>
      <c r="CX44" s="123"/>
      <c r="CY44" s="123"/>
      <c r="CZ44" s="144"/>
      <c r="DA44" s="126"/>
      <c r="DB44" s="123"/>
      <c r="DC44" s="123"/>
      <c r="DD44" s="123"/>
      <c r="DE44" s="144"/>
      <c r="DF44" s="143"/>
      <c r="DG44" s="123"/>
      <c r="DH44" s="123"/>
      <c r="DI44" s="123"/>
      <c r="DJ44" s="124"/>
      <c r="DK44" s="66"/>
      <c r="DL44" s="122" t="s">
        <v>102</v>
      </c>
      <c r="DM44" s="123"/>
      <c r="DN44" s="123"/>
      <c r="DO44" s="123"/>
      <c r="DP44" s="123"/>
      <c r="DQ44" s="123"/>
      <c r="DR44" s="144"/>
      <c r="DS44" s="143">
        <f ca="1">DS43*DS34</f>
        <v>170</v>
      </c>
      <c r="DT44" s="123"/>
      <c r="DU44" s="123"/>
      <c r="DV44" s="123"/>
      <c r="DW44" s="144"/>
      <c r="DX44" s="123" t="s">
        <v>79</v>
      </c>
      <c r="DY44" s="123"/>
      <c r="DZ44" s="123"/>
      <c r="EA44" s="123"/>
      <c r="EB44" s="124"/>
      <c r="ED44" s="75"/>
    </row>
    <row r="45" spans="1:134" x14ac:dyDescent="0.15">
      <c r="A45" s="53">
        <v>44</v>
      </c>
      <c r="B45" s="23"/>
      <c r="C45" s="145"/>
      <c r="D45" s="146"/>
      <c r="E45" s="146"/>
      <c r="F45" s="157"/>
      <c r="G45" s="122" t="s">
        <v>28</v>
      </c>
      <c r="H45" s="123"/>
      <c r="I45" s="123"/>
      <c r="J45" s="123"/>
      <c r="K45" s="144"/>
      <c r="L45" s="126"/>
      <c r="M45" s="123"/>
      <c r="N45" s="144"/>
      <c r="O45" s="143">
        <f>SUM(O32:S44)</f>
        <v>0</v>
      </c>
      <c r="P45" s="141"/>
      <c r="Q45" s="141"/>
      <c r="R45" s="141"/>
      <c r="S45" s="142"/>
      <c r="T45" s="143">
        <f>SUM(T32:X44)</f>
        <v>0</v>
      </c>
      <c r="U45" s="141"/>
      <c r="V45" s="141"/>
      <c r="W45" s="141"/>
      <c r="X45" s="142"/>
      <c r="Y45" s="143">
        <f t="shared" ref="Y45" si="18">SUM(Y32:AC44)</f>
        <v>0</v>
      </c>
      <c r="Z45" s="141"/>
      <c r="AA45" s="141"/>
      <c r="AB45" s="141"/>
      <c r="AC45" s="142"/>
      <c r="AD45" s="143">
        <f t="shared" ref="AD45" si="19">SUM(AD32:AH44)</f>
        <v>0</v>
      </c>
      <c r="AE45" s="141"/>
      <c r="AF45" s="141"/>
      <c r="AG45" s="141"/>
      <c r="AH45" s="142"/>
      <c r="AI45" s="143">
        <f t="shared" ref="AI45" si="20">SUM(AI32:AM44)</f>
        <v>0</v>
      </c>
      <c r="AJ45" s="141"/>
      <c r="AK45" s="141"/>
      <c r="AL45" s="141"/>
      <c r="AM45" s="142"/>
      <c r="AN45" s="143">
        <f t="shared" ref="AN45" si="21">SUM(AN32:AR44)</f>
        <v>0</v>
      </c>
      <c r="AO45" s="141"/>
      <c r="AP45" s="141"/>
      <c r="AQ45" s="141"/>
      <c r="AR45" s="142"/>
      <c r="AS45" s="143">
        <f t="shared" ref="AS45" si="22">SUM(AS32:AW44)</f>
        <v>0</v>
      </c>
      <c r="AT45" s="141"/>
      <c r="AU45" s="141"/>
      <c r="AV45" s="141"/>
      <c r="AW45" s="142"/>
      <c r="AX45" s="143">
        <f t="shared" ref="AX45" si="23">SUM(AX32:BB44)</f>
        <v>0</v>
      </c>
      <c r="AY45" s="141"/>
      <c r="AZ45" s="141"/>
      <c r="BA45" s="141"/>
      <c r="BB45" s="142"/>
      <c r="BC45" s="143">
        <f t="shared" ref="BC45" si="24">SUM(BC32:BG44)</f>
        <v>0</v>
      </c>
      <c r="BD45" s="141"/>
      <c r="BE45" s="141"/>
      <c r="BF45" s="141"/>
      <c r="BG45" s="142"/>
      <c r="BH45" s="143">
        <f t="shared" ref="BH45" si="25">SUM(BH32:BL44)</f>
        <v>0</v>
      </c>
      <c r="BI45" s="141"/>
      <c r="BJ45" s="141"/>
      <c r="BK45" s="141"/>
      <c r="BL45" s="142"/>
      <c r="BM45" s="143">
        <f t="shared" ref="BM45" si="26">SUM(BM32:BQ44)</f>
        <v>0</v>
      </c>
      <c r="BN45" s="141"/>
      <c r="BO45" s="141"/>
      <c r="BP45" s="141"/>
      <c r="BQ45" s="142"/>
      <c r="BR45" s="143">
        <f t="shared" ref="BR45" si="27">SUM(BR32:BV44)</f>
        <v>0</v>
      </c>
      <c r="BS45" s="141"/>
      <c r="BT45" s="141"/>
      <c r="BU45" s="141"/>
      <c r="BV45" s="142"/>
      <c r="BW45" s="143">
        <f t="shared" ref="BW45" si="28">SUM(BW32:CA44)</f>
        <v>0</v>
      </c>
      <c r="BX45" s="141"/>
      <c r="BY45" s="141"/>
      <c r="BZ45" s="141"/>
      <c r="CA45" s="142"/>
      <c r="CB45" s="143">
        <f t="shared" ref="CB45" si="29">SUM(CB32:CF44)</f>
        <v>0</v>
      </c>
      <c r="CC45" s="141"/>
      <c r="CD45" s="141"/>
      <c r="CE45" s="141"/>
      <c r="CF45" s="142"/>
      <c r="CG45" s="143">
        <f t="shared" ref="CG45" si="30">SUM(CG32:CK44)</f>
        <v>0</v>
      </c>
      <c r="CH45" s="141"/>
      <c r="CI45" s="141"/>
      <c r="CJ45" s="141"/>
      <c r="CK45" s="142"/>
      <c r="CL45" s="143">
        <f t="shared" ref="CL45" si="31">SUM(CL32:CP44)</f>
        <v>0</v>
      </c>
      <c r="CM45" s="141"/>
      <c r="CN45" s="141"/>
      <c r="CO45" s="141"/>
      <c r="CP45" s="142"/>
      <c r="CQ45" s="143">
        <f t="shared" ref="CQ45" si="32">SUM(CQ32:CU44)</f>
        <v>0</v>
      </c>
      <c r="CR45" s="141"/>
      <c r="CS45" s="141"/>
      <c r="CT45" s="141"/>
      <c r="CU45" s="142"/>
      <c r="CV45" s="143">
        <f t="shared" ref="CV45" si="33">SUM(CV32:CZ44)</f>
        <v>0</v>
      </c>
      <c r="CW45" s="141"/>
      <c r="CX45" s="141"/>
      <c r="CY45" s="141"/>
      <c r="CZ45" s="142"/>
      <c r="DA45" s="143">
        <f t="shared" ref="DA45" si="34">SUM(DA32:DE44)</f>
        <v>0</v>
      </c>
      <c r="DB45" s="141"/>
      <c r="DC45" s="141"/>
      <c r="DD45" s="141"/>
      <c r="DE45" s="142"/>
      <c r="DF45" s="143">
        <f t="shared" ref="DF45" si="35">SUM(DF32:DJ44)</f>
        <v>0</v>
      </c>
      <c r="DG45" s="141"/>
      <c r="DH45" s="141"/>
      <c r="DI45" s="141"/>
      <c r="DJ45" s="162"/>
      <c r="DK45" s="66"/>
      <c r="DL45" s="122"/>
      <c r="DM45" s="123"/>
      <c r="DN45" s="123"/>
      <c r="DO45" s="123"/>
      <c r="DP45" s="123"/>
      <c r="DQ45" s="123"/>
      <c r="DR45" s="144"/>
      <c r="DS45" s="126"/>
      <c r="DT45" s="123"/>
      <c r="DU45" s="123"/>
      <c r="DV45" s="123"/>
      <c r="DW45" s="144"/>
      <c r="DX45" s="126"/>
      <c r="DY45" s="123"/>
      <c r="DZ45" s="123"/>
      <c r="EA45" s="123"/>
      <c r="EB45" s="124"/>
      <c r="ED45" s="75"/>
    </row>
    <row r="46" spans="1:134" x14ac:dyDescent="0.15">
      <c r="A46" s="53">
        <v>45</v>
      </c>
      <c r="B46" s="23"/>
      <c r="C46" s="145"/>
      <c r="D46" s="146"/>
      <c r="E46" s="146"/>
      <c r="F46" s="157"/>
      <c r="G46" s="122" t="s">
        <v>29</v>
      </c>
      <c r="H46" s="123"/>
      <c r="I46" s="123"/>
      <c r="J46" s="123"/>
      <c r="K46" s="144"/>
      <c r="L46" s="126"/>
      <c r="M46" s="123"/>
      <c r="N46" s="144"/>
      <c r="O46" s="126"/>
      <c r="P46" s="123"/>
      <c r="Q46" s="123"/>
      <c r="R46" s="123"/>
      <c r="S46" s="123"/>
      <c r="T46" s="123"/>
      <c r="U46" s="123"/>
      <c r="V46" s="123"/>
      <c r="W46" s="123"/>
      <c r="X46" s="144"/>
      <c r="Y46" s="126"/>
      <c r="Z46" s="123"/>
      <c r="AA46" s="123"/>
      <c r="AB46" s="123"/>
      <c r="AC46" s="123"/>
      <c r="AD46" s="123"/>
      <c r="AE46" s="123"/>
      <c r="AF46" s="123"/>
      <c r="AG46" s="123"/>
      <c r="AH46" s="144"/>
      <c r="AI46" s="126"/>
      <c r="AJ46" s="123"/>
      <c r="AK46" s="123"/>
      <c r="AL46" s="123"/>
      <c r="AM46" s="123"/>
      <c r="AN46" s="123"/>
      <c r="AO46" s="123"/>
      <c r="AP46" s="123"/>
      <c r="AQ46" s="123"/>
      <c r="AR46" s="144"/>
      <c r="AS46" s="126"/>
      <c r="AT46" s="123"/>
      <c r="AU46" s="123"/>
      <c r="AV46" s="123"/>
      <c r="AW46" s="123"/>
      <c r="AX46" s="123"/>
      <c r="AY46" s="123"/>
      <c r="AZ46" s="123"/>
      <c r="BA46" s="123"/>
      <c r="BB46" s="144"/>
      <c r="BC46" s="126"/>
      <c r="BD46" s="123"/>
      <c r="BE46" s="123"/>
      <c r="BF46" s="123"/>
      <c r="BG46" s="123"/>
      <c r="BH46" s="123"/>
      <c r="BI46" s="123"/>
      <c r="BJ46" s="123"/>
      <c r="BK46" s="123"/>
      <c r="BL46" s="144"/>
      <c r="BM46" s="126"/>
      <c r="BN46" s="123"/>
      <c r="BO46" s="123"/>
      <c r="BP46" s="123"/>
      <c r="BQ46" s="123"/>
      <c r="BR46" s="123"/>
      <c r="BS46" s="123"/>
      <c r="BT46" s="123"/>
      <c r="BU46" s="123"/>
      <c r="BV46" s="144"/>
      <c r="BW46" s="126"/>
      <c r="BX46" s="123"/>
      <c r="BY46" s="123"/>
      <c r="BZ46" s="123"/>
      <c r="CA46" s="123"/>
      <c r="CB46" s="123"/>
      <c r="CC46" s="123"/>
      <c r="CD46" s="123"/>
      <c r="CE46" s="123"/>
      <c r="CF46" s="144"/>
      <c r="CG46" s="126"/>
      <c r="CH46" s="123"/>
      <c r="CI46" s="123"/>
      <c r="CJ46" s="123"/>
      <c r="CK46" s="123"/>
      <c r="CL46" s="123"/>
      <c r="CM46" s="123"/>
      <c r="CN46" s="123"/>
      <c r="CO46" s="123"/>
      <c r="CP46" s="144"/>
      <c r="CQ46" s="126"/>
      <c r="CR46" s="123"/>
      <c r="CS46" s="123"/>
      <c r="CT46" s="123"/>
      <c r="CU46" s="123"/>
      <c r="CV46" s="123"/>
      <c r="CW46" s="123"/>
      <c r="CX46" s="123"/>
      <c r="CY46" s="123"/>
      <c r="CZ46" s="144"/>
      <c r="DA46" s="126"/>
      <c r="DB46" s="123"/>
      <c r="DC46" s="123"/>
      <c r="DD46" s="123"/>
      <c r="DE46" s="123"/>
      <c r="DF46" s="123"/>
      <c r="DG46" s="123"/>
      <c r="DH46" s="123"/>
      <c r="DI46" s="123"/>
      <c r="DJ46" s="124"/>
      <c r="DK46" s="66"/>
      <c r="DL46" s="122" t="s">
        <v>106</v>
      </c>
      <c r="DM46" s="123"/>
      <c r="DN46" s="123"/>
      <c r="DO46" s="123"/>
      <c r="DP46" s="123"/>
      <c r="DQ46" s="123"/>
      <c r="DR46" s="144"/>
      <c r="DS46" s="126">
        <f ca="1">DS39/DS42 *100</f>
        <v>4.8100160578883928</v>
      </c>
      <c r="DT46" s="123"/>
      <c r="DU46" s="123"/>
      <c r="DV46" s="123"/>
      <c r="DW46" s="144"/>
      <c r="DX46" s="126" t="s">
        <v>56</v>
      </c>
      <c r="DY46" s="123"/>
      <c r="DZ46" s="123"/>
      <c r="EA46" s="123"/>
      <c r="EB46" s="124"/>
      <c r="ED46" s="75"/>
    </row>
    <row r="47" spans="1:134" x14ac:dyDescent="0.15">
      <c r="A47" s="52">
        <v>46</v>
      </c>
      <c r="B47" s="23"/>
      <c r="C47" s="145"/>
      <c r="D47" s="146"/>
      <c r="E47" s="146"/>
      <c r="F47" s="157"/>
      <c r="G47" s="122" t="s">
        <v>30</v>
      </c>
      <c r="H47" s="123"/>
      <c r="I47" s="123"/>
      <c r="J47" s="123"/>
      <c r="K47" s="144"/>
      <c r="L47" s="126"/>
      <c r="M47" s="123"/>
      <c r="N47" s="144"/>
      <c r="O47" s="126"/>
      <c r="P47" s="123"/>
      <c r="Q47" s="123"/>
      <c r="R47" s="123"/>
      <c r="S47" s="123"/>
      <c r="T47" s="123"/>
      <c r="U47" s="123"/>
      <c r="V47" s="123"/>
      <c r="W47" s="123"/>
      <c r="X47" s="144"/>
      <c r="Y47" s="126"/>
      <c r="Z47" s="123"/>
      <c r="AA47" s="123"/>
      <c r="AB47" s="123"/>
      <c r="AC47" s="123"/>
      <c r="AD47" s="123"/>
      <c r="AE47" s="123"/>
      <c r="AF47" s="123"/>
      <c r="AG47" s="123"/>
      <c r="AH47" s="144"/>
      <c r="AI47" s="126"/>
      <c r="AJ47" s="123"/>
      <c r="AK47" s="123"/>
      <c r="AL47" s="123"/>
      <c r="AM47" s="123"/>
      <c r="AN47" s="123"/>
      <c r="AO47" s="123"/>
      <c r="AP47" s="123"/>
      <c r="AQ47" s="123"/>
      <c r="AR47" s="144"/>
      <c r="AS47" s="126"/>
      <c r="AT47" s="123"/>
      <c r="AU47" s="123"/>
      <c r="AV47" s="123"/>
      <c r="AW47" s="123"/>
      <c r="AX47" s="123"/>
      <c r="AY47" s="123"/>
      <c r="AZ47" s="123"/>
      <c r="BA47" s="123"/>
      <c r="BB47" s="144"/>
      <c r="BC47" s="126"/>
      <c r="BD47" s="123"/>
      <c r="BE47" s="123"/>
      <c r="BF47" s="123"/>
      <c r="BG47" s="123"/>
      <c r="BH47" s="123"/>
      <c r="BI47" s="123"/>
      <c r="BJ47" s="123"/>
      <c r="BK47" s="123"/>
      <c r="BL47" s="144"/>
      <c r="BM47" s="126"/>
      <c r="BN47" s="123"/>
      <c r="BO47" s="123"/>
      <c r="BP47" s="123"/>
      <c r="BQ47" s="123"/>
      <c r="BR47" s="123"/>
      <c r="BS47" s="123"/>
      <c r="BT47" s="123"/>
      <c r="BU47" s="123"/>
      <c r="BV47" s="144"/>
      <c r="BW47" s="126"/>
      <c r="BX47" s="123"/>
      <c r="BY47" s="123"/>
      <c r="BZ47" s="123"/>
      <c r="CA47" s="123"/>
      <c r="CB47" s="123"/>
      <c r="CC47" s="123"/>
      <c r="CD47" s="123"/>
      <c r="CE47" s="123"/>
      <c r="CF47" s="144"/>
      <c r="CG47" s="126"/>
      <c r="CH47" s="123"/>
      <c r="CI47" s="123"/>
      <c r="CJ47" s="123"/>
      <c r="CK47" s="123"/>
      <c r="CL47" s="123"/>
      <c r="CM47" s="123"/>
      <c r="CN47" s="123"/>
      <c r="CO47" s="123"/>
      <c r="CP47" s="144"/>
      <c r="CQ47" s="126"/>
      <c r="CR47" s="123"/>
      <c r="CS47" s="123"/>
      <c r="CT47" s="123"/>
      <c r="CU47" s="123"/>
      <c r="CV47" s="123"/>
      <c r="CW47" s="123"/>
      <c r="CX47" s="123"/>
      <c r="CY47" s="123"/>
      <c r="CZ47" s="144"/>
      <c r="DA47" s="126"/>
      <c r="DB47" s="123"/>
      <c r="DC47" s="123"/>
      <c r="DD47" s="123"/>
      <c r="DE47" s="123"/>
      <c r="DF47" s="123"/>
      <c r="DG47" s="123"/>
      <c r="DH47" s="123"/>
      <c r="DI47" s="123"/>
      <c r="DJ47" s="124"/>
      <c r="DK47" s="66"/>
      <c r="DL47" s="122" t="s">
        <v>107</v>
      </c>
      <c r="DM47" s="123"/>
      <c r="DN47" s="123"/>
      <c r="DO47" s="123"/>
      <c r="DP47" s="123"/>
      <c r="DQ47" s="123"/>
      <c r="DR47" s="144"/>
      <c r="DS47" s="126">
        <f ca="1">DS55/DS58 *100</f>
        <v>4.8100160578883919</v>
      </c>
      <c r="DT47" s="123"/>
      <c r="DU47" s="123"/>
      <c r="DV47" s="123"/>
      <c r="DW47" s="144"/>
      <c r="DX47" s="126" t="s">
        <v>56</v>
      </c>
      <c r="DY47" s="123"/>
      <c r="DZ47" s="123"/>
      <c r="EA47" s="123"/>
      <c r="EB47" s="124"/>
      <c r="ED47" s="75"/>
    </row>
    <row r="48" spans="1:134" x14ac:dyDescent="0.15">
      <c r="A48" s="53">
        <v>47</v>
      </c>
      <c r="B48" s="23"/>
      <c r="C48" s="145"/>
      <c r="D48" s="146"/>
      <c r="E48" s="146"/>
      <c r="F48" s="157"/>
      <c r="G48" s="109" t="s">
        <v>31</v>
      </c>
      <c r="H48" s="110"/>
      <c r="I48" s="110"/>
      <c r="J48" s="110"/>
      <c r="K48" s="128"/>
      <c r="L48" s="127"/>
      <c r="M48" s="110"/>
      <c r="N48" s="128"/>
      <c r="O48" s="127"/>
      <c r="P48" s="110"/>
      <c r="Q48" s="110"/>
      <c r="R48" s="110"/>
      <c r="S48" s="110"/>
      <c r="T48" s="110"/>
      <c r="U48" s="110"/>
      <c r="V48" s="110"/>
      <c r="W48" s="110"/>
      <c r="X48" s="128"/>
      <c r="Y48" s="127"/>
      <c r="Z48" s="110"/>
      <c r="AA48" s="110"/>
      <c r="AB48" s="110"/>
      <c r="AC48" s="110"/>
      <c r="AD48" s="110"/>
      <c r="AE48" s="110"/>
      <c r="AF48" s="110"/>
      <c r="AG48" s="110"/>
      <c r="AH48" s="128"/>
      <c r="AI48" s="127"/>
      <c r="AJ48" s="110"/>
      <c r="AK48" s="110"/>
      <c r="AL48" s="110"/>
      <c r="AM48" s="110"/>
      <c r="AN48" s="110"/>
      <c r="AO48" s="110"/>
      <c r="AP48" s="110"/>
      <c r="AQ48" s="110"/>
      <c r="AR48" s="128"/>
      <c r="AS48" s="127"/>
      <c r="AT48" s="110"/>
      <c r="AU48" s="110"/>
      <c r="AV48" s="110"/>
      <c r="AW48" s="110"/>
      <c r="AX48" s="110"/>
      <c r="AY48" s="110"/>
      <c r="AZ48" s="110"/>
      <c r="BA48" s="110"/>
      <c r="BB48" s="128"/>
      <c r="BC48" s="127"/>
      <c r="BD48" s="110"/>
      <c r="BE48" s="110"/>
      <c r="BF48" s="110"/>
      <c r="BG48" s="110"/>
      <c r="BH48" s="110"/>
      <c r="BI48" s="110"/>
      <c r="BJ48" s="110"/>
      <c r="BK48" s="110"/>
      <c r="BL48" s="128"/>
      <c r="BM48" s="127"/>
      <c r="BN48" s="110"/>
      <c r="BO48" s="110"/>
      <c r="BP48" s="110"/>
      <c r="BQ48" s="110"/>
      <c r="BR48" s="110"/>
      <c r="BS48" s="110"/>
      <c r="BT48" s="110"/>
      <c r="BU48" s="110"/>
      <c r="BV48" s="128"/>
      <c r="BW48" s="127"/>
      <c r="BX48" s="110"/>
      <c r="BY48" s="110"/>
      <c r="BZ48" s="110"/>
      <c r="CA48" s="110"/>
      <c r="CB48" s="110"/>
      <c r="CC48" s="110"/>
      <c r="CD48" s="110"/>
      <c r="CE48" s="110"/>
      <c r="CF48" s="128"/>
      <c r="CG48" s="127"/>
      <c r="CH48" s="110"/>
      <c r="CI48" s="110"/>
      <c r="CJ48" s="110"/>
      <c r="CK48" s="110"/>
      <c r="CL48" s="110"/>
      <c r="CM48" s="110"/>
      <c r="CN48" s="110"/>
      <c r="CO48" s="110"/>
      <c r="CP48" s="128"/>
      <c r="CQ48" s="127"/>
      <c r="CR48" s="110"/>
      <c r="CS48" s="110"/>
      <c r="CT48" s="110"/>
      <c r="CU48" s="110"/>
      <c r="CV48" s="110"/>
      <c r="CW48" s="110"/>
      <c r="CX48" s="110"/>
      <c r="CY48" s="110"/>
      <c r="CZ48" s="128"/>
      <c r="DA48" s="127"/>
      <c r="DB48" s="110"/>
      <c r="DC48" s="110"/>
      <c r="DD48" s="110"/>
      <c r="DE48" s="110"/>
      <c r="DF48" s="110"/>
      <c r="DG48" s="110"/>
      <c r="DH48" s="110"/>
      <c r="DI48" s="110"/>
      <c r="DJ48" s="111"/>
      <c r="DK48" s="66"/>
      <c r="DL48" s="82" t="s">
        <v>104</v>
      </c>
      <c r="DM48" s="66"/>
      <c r="DN48" s="66"/>
      <c r="DO48" s="66"/>
      <c r="DP48" s="66"/>
      <c r="DQ48" s="66"/>
      <c r="DR48" s="66"/>
      <c r="DS48" s="123"/>
      <c r="DT48" s="123"/>
      <c r="DU48" s="123"/>
      <c r="DV48" s="123"/>
      <c r="DW48" s="144"/>
      <c r="DX48" s="126"/>
      <c r="DY48" s="123"/>
      <c r="DZ48" s="123"/>
      <c r="EA48" s="123"/>
      <c r="EB48" s="124"/>
      <c r="ED48" s="75"/>
    </row>
    <row r="49" spans="1:134" x14ac:dyDescent="0.15">
      <c r="A49" s="53">
        <v>48</v>
      </c>
      <c r="B49" s="23"/>
      <c r="C49" s="145"/>
      <c r="D49" s="146"/>
      <c r="E49" s="146"/>
      <c r="F49" s="157"/>
      <c r="G49" s="21"/>
      <c r="H49" s="62"/>
      <c r="I49" s="62"/>
      <c r="J49" s="62"/>
      <c r="K49" s="62"/>
      <c r="L49" s="62"/>
      <c r="M49" s="62"/>
      <c r="N49" s="62"/>
      <c r="O49" s="63"/>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c r="AR49" s="62"/>
      <c r="AS49" s="62"/>
      <c r="AT49" s="62"/>
      <c r="AU49" s="62"/>
      <c r="AV49" s="62"/>
      <c r="AW49" s="62"/>
      <c r="AX49" s="62"/>
      <c r="AY49" s="62"/>
      <c r="AZ49" s="62"/>
      <c r="BA49" s="10"/>
      <c r="BB49" s="62"/>
      <c r="BC49" s="62"/>
      <c r="BD49" s="62"/>
      <c r="BE49" s="62"/>
      <c r="BF49" s="62"/>
      <c r="BG49" s="62"/>
      <c r="BH49" s="62"/>
      <c r="BI49" s="62"/>
      <c r="BJ49" s="62"/>
      <c r="BK49" s="62"/>
      <c r="BL49" s="62"/>
      <c r="BM49" s="62"/>
      <c r="BN49" s="62"/>
      <c r="BO49" s="62"/>
      <c r="BP49" s="62"/>
      <c r="BQ49" s="62"/>
      <c r="BR49" s="62"/>
      <c r="BS49" s="62"/>
      <c r="BT49" s="62"/>
      <c r="BU49" s="62"/>
      <c r="BV49" s="62"/>
      <c r="BW49" s="62"/>
      <c r="BX49" s="62"/>
      <c r="BY49" s="62"/>
      <c r="BZ49" s="62"/>
      <c r="CA49" s="62"/>
      <c r="CB49" s="62"/>
      <c r="CC49" s="62"/>
      <c r="CD49" s="62"/>
      <c r="CE49" s="62"/>
      <c r="CF49" s="62"/>
      <c r="CG49" s="62"/>
      <c r="CH49" s="62"/>
      <c r="CI49" s="62"/>
      <c r="CJ49" s="62"/>
      <c r="CK49" s="62"/>
      <c r="CL49" s="62"/>
      <c r="CM49" s="62"/>
      <c r="CN49" s="62"/>
      <c r="CO49" s="62"/>
      <c r="CP49" s="62"/>
      <c r="CQ49" s="62"/>
      <c r="CR49" s="62"/>
      <c r="CS49" s="62"/>
      <c r="CT49" s="62"/>
      <c r="CU49" s="62"/>
      <c r="CV49" s="62"/>
      <c r="CW49" s="62"/>
      <c r="CX49" s="62"/>
      <c r="CY49" s="62"/>
      <c r="CZ49" s="62"/>
      <c r="DA49" s="62"/>
      <c r="DB49" s="62"/>
      <c r="DC49" s="62"/>
      <c r="DD49" s="62"/>
      <c r="DE49" s="62"/>
      <c r="DF49" s="62"/>
      <c r="DG49" s="62"/>
      <c r="DH49" s="62"/>
      <c r="DI49" s="62"/>
      <c r="DJ49" s="62"/>
      <c r="DK49" s="57"/>
      <c r="DL49" s="122" t="s">
        <v>92</v>
      </c>
      <c r="DM49" s="123"/>
      <c r="DN49" s="123"/>
      <c r="DO49" s="123"/>
      <c r="DP49" s="123"/>
      <c r="DQ49" s="123"/>
      <c r="DR49" s="144"/>
      <c r="DS49" s="143">
        <v>170</v>
      </c>
      <c r="DT49" s="141"/>
      <c r="DU49" s="141"/>
      <c r="DV49" s="141"/>
      <c r="DW49" s="142"/>
      <c r="DX49" s="126" t="s">
        <v>79</v>
      </c>
      <c r="DY49" s="123"/>
      <c r="DZ49" s="123"/>
      <c r="EA49" s="123"/>
      <c r="EB49" s="124"/>
      <c r="ED49" s="75"/>
    </row>
    <row r="50" spans="1:134" x14ac:dyDescent="0.15">
      <c r="A50" s="53">
        <v>49</v>
      </c>
      <c r="B50" s="23"/>
      <c r="C50" s="145"/>
      <c r="D50" s="146"/>
      <c r="E50" s="146"/>
      <c r="F50" s="157"/>
      <c r="G50" s="23"/>
      <c r="H50" s="41"/>
      <c r="I50" s="41"/>
      <c r="J50" s="41"/>
      <c r="K50" s="41"/>
      <c r="L50" s="41"/>
      <c r="M50" s="41"/>
      <c r="N50" s="41"/>
      <c r="O50" s="41"/>
      <c r="P50" s="41"/>
      <c r="Q50" s="41"/>
      <c r="R50" s="41"/>
      <c r="S50" s="41"/>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50"/>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57"/>
      <c r="DL50" s="122" t="s">
        <v>80</v>
      </c>
      <c r="DM50" s="123"/>
      <c r="DN50" s="123"/>
      <c r="DO50" s="123"/>
      <c r="DP50" s="123"/>
      <c r="DQ50" s="123"/>
      <c r="DR50" s="144"/>
      <c r="DS50" s="126">
        <v>5</v>
      </c>
      <c r="DT50" s="123"/>
      <c r="DU50" s="123"/>
      <c r="DV50" s="123"/>
      <c r="DW50" s="144"/>
      <c r="DX50" s="126" t="s">
        <v>75</v>
      </c>
      <c r="DY50" s="123"/>
      <c r="DZ50" s="123"/>
      <c r="EA50" s="123"/>
      <c r="EB50" s="124"/>
      <c r="ED50" s="75"/>
    </row>
    <row r="51" spans="1:134" x14ac:dyDescent="0.15">
      <c r="A51" s="53">
        <v>50</v>
      </c>
      <c r="B51" s="23"/>
      <c r="C51" s="145"/>
      <c r="D51" s="146"/>
      <c r="E51" s="146"/>
      <c r="F51" s="157"/>
      <c r="G51" s="23"/>
      <c r="H51" s="41"/>
      <c r="I51" s="41"/>
      <c r="J51" s="41"/>
      <c r="K51" s="41"/>
      <c r="L51" s="41"/>
      <c r="M51" s="41"/>
      <c r="N51" s="41"/>
      <c r="O51" s="41"/>
      <c r="P51" s="41"/>
      <c r="Q51" s="41"/>
      <c r="R51" s="41"/>
      <c r="S51" s="41"/>
      <c r="T51" s="41"/>
      <c r="U51" s="41"/>
      <c r="V51" s="41"/>
      <c r="W51" s="41"/>
      <c r="X51" s="41"/>
      <c r="Y51" s="41"/>
      <c r="Z51" s="41"/>
      <c r="AA51" s="41"/>
      <c r="AB51" s="41"/>
      <c r="AC51" s="41"/>
      <c r="AD51" s="41"/>
      <c r="AE51" s="41"/>
      <c r="AF51" s="41"/>
      <c r="AG51" s="41"/>
      <c r="AH51" s="41"/>
      <c r="AI51" s="41"/>
      <c r="AJ51" s="41"/>
      <c r="AK51" s="41"/>
      <c r="AL51" s="41"/>
      <c r="AM51" s="41"/>
      <c r="AN51" s="41"/>
      <c r="AO51" s="41"/>
      <c r="AP51" s="41"/>
      <c r="AQ51" s="41"/>
      <c r="AR51" s="41"/>
      <c r="AS51" s="41"/>
      <c r="AT51" s="41"/>
      <c r="AU51" s="41"/>
      <c r="AV51" s="41"/>
      <c r="AW51" s="41"/>
      <c r="AX51" s="41"/>
      <c r="AY51" s="41"/>
      <c r="AZ51" s="41"/>
      <c r="BA51" s="50"/>
      <c r="BB51" s="41"/>
      <c r="BC51" s="41"/>
      <c r="BD51" s="41"/>
      <c r="BE51" s="41"/>
      <c r="BF51" s="41"/>
      <c r="BG51" s="41"/>
      <c r="BH51" s="41"/>
      <c r="BI51" s="41"/>
      <c r="BJ51" s="41"/>
      <c r="BK51" s="41"/>
      <c r="BL51" s="41"/>
      <c r="BM51" s="41"/>
      <c r="BN51" s="41"/>
      <c r="BO51" s="41"/>
      <c r="BP51" s="41"/>
      <c r="BQ51" s="41"/>
      <c r="BR51" s="41"/>
      <c r="BS51" s="41"/>
      <c r="BT51" s="41"/>
      <c r="BU51" s="41"/>
      <c r="BV51" s="41"/>
      <c r="BW51" s="41"/>
      <c r="BX51" s="41"/>
      <c r="BY51" s="41"/>
      <c r="BZ51" s="41"/>
      <c r="CA51" s="41"/>
      <c r="CB51" s="41"/>
      <c r="CC51" s="41"/>
      <c r="CD51" s="41"/>
      <c r="CE51" s="41"/>
      <c r="CF51" s="41"/>
      <c r="CG51" s="41"/>
      <c r="CH51" s="41"/>
      <c r="CI51" s="41"/>
      <c r="CJ51" s="41"/>
      <c r="CK51" s="41"/>
      <c r="CL51" s="41"/>
      <c r="CM51" s="41"/>
      <c r="CN51" s="41"/>
      <c r="CO51" s="41"/>
      <c r="CP51" s="41"/>
      <c r="CQ51" s="41"/>
      <c r="CR51" s="41"/>
      <c r="CS51" s="41"/>
      <c r="CT51" s="41"/>
      <c r="CU51" s="41"/>
      <c r="CV51" s="41"/>
      <c r="CW51" s="41"/>
      <c r="CX51" s="41"/>
      <c r="CY51" s="41"/>
      <c r="CZ51" s="41"/>
      <c r="DA51" s="41"/>
      <c r="DB51" s="41"/>
      <c r="DC51" s="41"/>
      <c r="DD51" s="41"/>
      <c r="DE51" s="41"/>
      <c r="DF51" s="41"/>
      <c r="DG51" s="41"/>
      <c r="DH51" s="41"/>
      <c r="DI51" s="41"/>
      <c r="DJ51" s="41"/>
      <c r="DK51" s="57"/>
      <c r="DL51" s="122" t="s">
        <v>93</v>
      </c>
      <c r="DM51" s="123"/>
      <c r="DN51" s="123"/>
      <c r="DO51" s="123"/>
      <c r="DP51" s="123"/>
      <c r="DQ51" s="123"/>
      <c r="DR51" s="144"/>
      <c r="DS51" s="126">
        <f ca="1">DS49*DS58/DS50</f>
        <v>1880.9477805720187</v>
      </c>
      <c r="DT51" s="123"/>
      <c r="DU51" s="123"/>
      <c r="DV51" s="123"/>
      <c r="DW51" s="144"/>
      <c r="DX51" s="126" t="s">
        <v>82</v>
      </c>
      <c r="DY51" s="123"/>
      <c r="DZ51" s="123"/>
      <c r="EA51" s="123"/>
      <c r="EB51" s="124"/>
      <c r="ED51" s="75"/>
    </row>
    <row r="52" spans="1:134" x14ac:dyDescent="0.15">
      <c r="A52" s="52">
        <v>51</v>
      </c>
      <c r="B52" s="23"/>
      <c r="C52" s="145"/>
      <c r="D52" s="146"/>
      <c r="E52" s="146"/>
      <c r="F52" s="157"/>
      <c r="G52" s="23"/>
      <c r="H52" s="41"/>
      <c r="I52" s="41"/>
      <c r="J52" s="41"/>
      <c r="K52" s="41"/>
      <c r="L52" s="41"/>
      <c r="M52" s="41"/>
      <c r="N52" s="41"/>
      <c r="O52" s="41"/>
      <c r="P52" s="41"/>
      <c r="Q52" s="41"/>
      <c r="R52" s="41"/>
      <c r="S52" s="41"/>
      <c r="T52" s="41"/>
      <c r="U52" s="41"/>
      <c r="V52" s="41"/>
      <c r="W52" s="41"/>
      <c r="X52" s="41"/>
      <c r="Y52" s="41"/>
      <c r="Z52" s="41"/>
      <c r="AA52" s="41"/>
      <c r="AB52" s="41"/>
      <c r="AC52" s="41"/>
      <c r="AD52" s="41"/>
      <c r="AE52" s="41"/>
      <c r="AF52" s="41"/>
      <c r="AG52" s="41"/>
      <c r="AH52" s="41"/>
      <c r="AI52" s="41"/>
      <c r="AJ52" s="41"/>
      <c r="AK52" s="41"/>
      <c r="AL52" s="41"/>
      <c r="AM52" s="41"/>
      <c r="AN52" s="41"/>
      <c r="AO52" s="41"/>
      <c r="AP52" s="41"/>
      <c r="AQ52" s="41"/>
      <c r="AR52" s="41"/>
      <c r="AS52" s="41"/>
      <c r="AT52" s="41"/>
      <c r="AU52" s="41"/>
      <c r="AV52" s="41"/>
      <c r="AW52" s="41"/>
      <c r="AX52" s="41"/>
      <c r="AY52" s="41"/>
      <c r="AZ52" s="41"/>
      <c r="BA52" s="50"/>
      <c r="BB52" s="41"/>
      <c r="BC52" s="41"/>
      <c r="BD52" s="41"/>
      <c r="BE52" s="41"/>
      <c r="BF52" s="41"/>
      <c r="BG52" s="41"/>
      <c r="BH52" s="41"/>
      <c r="BI52" s="41"/>
      <c r="BJ52" s="41"/>
      <c r="BK52" s="41"/>
      <c r="BL52" s="41"/>
      <c r="BM52" s="41"/>
      <c r="BN52" s="41"/>
      <c r="BO52" s="41"/>
      <c r="BP52" s="41"/>
      <c r="BQ52" s="41"/>
      <c r="BR52" s="41"/>
      <c r="BS52" s="41"/>
      <c r="BT52" s="41"/>
      <c r="BU52" s="41"/>
      <c r="BV52" s="41"/>
      <c r="BW52" s="41"/>
      <c r="BX52" s="41"/>
      <c r="BY52" s="41"/>
      <c r="BZ52" s="41"/>
      <c r="CA52" s="41"/>
      <c r="CB52" s="41"/>
      <c r="CC52" s="41"/>
      <c r="CD52" s="41"/>
      <c r="CE52" s="41"/>
      <c r="CF52" s="41"/>
      <c r="CG52" s="41"/>
      <c r="CH52" s="41"/>
      <c r="CI52" s="41"/>
      <c r="CJ52" s="41"/>
      <c r="CK52" s="41"/>
      <c r="CL52" s="41"/>
      <c r="CM52" s="41"/>
      <c r="CN52" s="41"/>
      <c r="CO52" s="41"/>
      <c r="CP52" s="41"/>
      <c r="CQ52" s="41"/>
      <c r="CR52" s="41"/>
      <c r="CS52" s="41"/>
      <c r="CT52" s="41"/>
      <c r="CU52" s="41"/>
      <c r="CV52" s="41"/>
      <c r="CW52" s="41"/>
      <c r="CX52" s="41"/>
      <c r="CY52" s="41"/>
      <c r="CZ52" s="41"/>
      <c r="DA52" s="41"/>
      <c r="DB52" s="41"/>
      <c r="DC52" s="41"/>
      <c r="DD52" s="41"/>
      <c r="DE52" s="41"/>
      <c r="DF52" s="41"/>
      <c r="DG52" s="41"/>
      <c r="DH52" s="41"/>
      <c r="DI52" s="41"/>
      <c r="DJ52" s="41"/>
      <c r="DK52" s="57"/>
      <c r="DL52" s="122" t="s">
        <v>96</v>
      </c>
      <c r="DM52" s="123"/>
      <c r="DN52" s="123"/>
      <c r="DO52" s="123"/>
      <c r="DP52" s="123"/>
      <c r="DQ52" s="123"/>
      <c r="DR52" s="144"/>
      <c r="DS52" s="126">
        <v>0.5</v>
      </c>
      <c r="DT52" s="123"/>
      <c r="DU52" s="123"/>
      <c r="DV52" s="123"/>
      <c r="DW52" s="144"/>
      <c r="DX52" s="220" t="s">
        <v>69</v>
      </c>
      <c r="DY52" s="221"/>
      <c r="DZ52" s="221"/>
      <c r="EA52" s="221"/>
      <c r="EB52" s="222"/>
      <c r="ED52" s="75"/>
    </row>
    <row r="53" spans="1:134" x14ac:dyDescent="0.15">
      <c r="A53" s="53">
        <v>52</v>
      </c>
      <c r="B53" s="23"/>
      <c r="C53" s="145"/>
      <c r="D53" s="146"/>
      <c r="E53" s="146"/>
      <c r="F53" s="157"/>
      <c r="G53" s="23"/>
      <c r="H53" s="41"/>
      <c r="I53" s="41"/>
      <c r="J53" s="41"/>
      <c r="K53" s="41"/>
      <c r="L53" s="41"/>
      <c r="M53" s="41"/>
      <c r="N53" s="41"/>
      <c r="O53" s="45"/>
      <c r="P53" s="41"/>
      <c r="Q53" s="41"/>
      <c r="R53" s="41"/>
      <c r="S53" s="41"/>
      <c r="T53" s="41"/>
      <c r="U53" s="41"/>
      <c r="V53" s="41"/>
      <c r="W53" s="41"/>
      <c r="X53" s="41"/>
      <c r="Y53" s="41"/>
      <c r="Z53" s="41"/>
      <c r="AA53" s="41"/>
      <c r="AB53" s="41"/>
      <c r="AC53" s="41"/>
      <c r="AD53" s="41"/>
      <c r="AE53" s="41"/>
      <c r="AF53" s="41"/>
      <c r="AG53" s="41"/>
      <c r="AH53" s="41"/>
      <c r="AI53" s="41"/>
      <c r="AJ53" s="41"/>
      <c r="AK53" s="41"/>
      <c r="AL53" s="41"/>
      <c r="AM53" s="41"/>
      <c r="AN53" s="41"/>
      <c r="AO53" s="41"/>
      <c r="AP53" s="41"/>
      <c r="AQ53" s="41"/>
      <c r="AR53" s="41"/>
      <c r="AS53" s="41"/>
      <c r="AT53" s="41"/>
      <c r="AU53" s="41"/>
      <c r="AV53" s="41"/>
      <c r="AW53" s="41"/>
      <c r="AX53" s="41"/>
      <c r="AY53" s="41"/>
      <c r="AZ53" s="41"/>
      <c r="BA53" s="50"/>
      <c r="BB53" s="41"/>
      <c r="BC53" s="41"/>
      <c r="BD53" s="41"/>
      <c r="BE53" s="41"/>
      <c r="BF53" s="41"/>
      <c r="BG53" s="41"/>
      <c r="BH53" s="41"/>
      <c r="BI53" s="41"/>
      <c r="BJ53" s="41"/>
      <c r="BK53" s="41"/>
      <c r="BL53" s="41"/>
      <c r="BM53" s="41"/>
      <c r="BN53" s="41"/>
      <c r="BO53" s="41"/>
      <c r="BP53" s="41"/>
      <c r="BQ53" s="41"/>
      <c r="BR53" s="41"/>
      <c r="BS53" s="41"/>
      <c r="BT53" s="41"/>
      <c r="BU53" s="41"/>
      <c r="BV53" s="41"/>
      <c r="BW53" s="41"/>
      <c r="BX53" s="41"/>
      <c r="BY53" s="41"/>
      <c r="BZ53" s="41"/>
      <c r="CA53" s="41"/>
      <c r="CB53" s="41"/>
      <c r="CC53" s="41"/>
      <c r="CD53" s="41"/>
      <c r="CE53" s="41"/>
      <c r="CF53" s="41"/>
      <c r="CG53" s="41"/>
      <c r="CH53" s="41"/>
      <c r="CI53" s="41"/>
      <c r="CJ53" s="41"/>
      <c r="CK53" s="41"/>
      <c r="CL53" s="41"/>
      <c r="CM53" s="41"/>
      <c r="CN53" s="41"/>
      <c r="CO53" s="41"/>
      <c r="CP53" s="41"/>
      <c r="CQ53" s="41"/>
      <c r="CR53" s="41"/>
      <c r="CS53" s="41"/>
      <c r="CT53" s="41"/>
      <c r="CU53" s="41"/>
      <c r="CV53" s="41"/>
      <c r="CW53" s="41"/>
      <c r="CX53" s="41"/>
      <c r="CY53" s="41"/>
      <c r="CZ53" s="41"/>
      <c r="DA53" s="41"/>
      <c r="DB53" s="41"/>
      <c r="DC53" s="41"/>
      <c r="DD53" s="41"/>
      <c r="DE53" s="41"/>
      <c r="DF53" s="41"/>
      <c r="DG53" s="41"/>
      <c r="DH53" s="41"/>
      <c r="DI53" s="41"/>
      <c r="DJ53" s="41"/>
      <c r="DK53" s="57"/>
      <c r="DL53" s="122" t="s">
        <v>94</v>
      </c>
      <c r="DM53" s="123"/>
      <c r="DN53" s="123"/>
      <c r="DO53" s="123"/>
      <c r="DP53" s="123"/>
      <c r="DQ53" s="123"/>
      <c r="DR53" s="144"/>
      <c r="DS53" s="126">
        <v>1</v>
      </c>
      <c r="DT53" s="123"/>
      <c r="DU53" s="123"/>
      <c r="DV53" s="123"/>
      <c r="DW53" s="144"/>
      <c r="DX53" s="126" t="s">
        <v>95</v>
      </c>
      <c r="DY53" s="123"/>
      <c r="DZ53" s="123"/>
      <c r="EA53" s="123"/>
      <c r="EB53" s="124"/>
      <c r="ED53" s="75"/>
    </row>
    <row r="54" spans="1:134" x14ac:dyDescent="0.15">
      <c r="A54" s="53">
        <v>53</v>
      </c>
      <c r="B54" s="23"/>
      <c r="C54" s="145"/>
      <c r="D54" s="146"/>
      <c r="E54" s="146"/>
      <c r="F54" s="157"/>
      <c r="G54" s="23"/>
      <c r="H54" s="41"/>
      <c r="I54" s="41"/>
      <c r="J54" s="41"/>
      <c r="K54" s="41"/>
      <c r="L54" s="41"/>
      <c r="M54" s="41"/>
      <c r="N54" s="41"/>
      <c r="O54" s="41"/>
      <c r="P54" s="41"/>
      <c r="Q54" s="41"/>
      <c r="R54" s="41"/>
      <c r="S54" s="41"/>
      <c r="T54" s="41"/>
      <c r="U54" s="41"/>
      <c r="V54" s="41"/>
      <c r="W54" s="41"/>
      <c r="X54" s="41"/>
      <c r="Y54" s="41"/>
      <c r="Z54" s="41"/>
      <c r="AA54" s="41"/>
      <c r="AB54" s="41"/>
      <c r="AC54" s="41"/>
      <c r="AD54" s="41"/>
      <c r="AE54" s="41"/>
      <c r="AF54" s="41"/>
      <c r="AG54" s="41"/>
      <c r="AH54" s="41"/>
      <c r="AI54" s="41"/>
      <c r="AJ54" s="41"/>
      <c r="AK54" s="41"/>
      <c r="AL54" s="41"/>
      <c r="AM54" s="41"/>
      <c r="AN54" s="41"/>
      <c r="AO54" s="41"/>
      <c r="AP54" s="41"/>
      <c r="AQ54" s="41"/>
      <c r="AR54" s="41"/>
      <c r="AS54" s="41"/>
      <c r="AT54" s="41"/>
      <c r="AU54" s="41"/>
      <c r="AV54" s="41"/>
      <c r="AW54" s="41"/>
      <c r="AX54" s="41"/>
      <c r="AY54" s="41"/>
      <c r="AZ54" s="41"/>
      <c r="BA54" s="50"/>
      <c r="BB54" s="41"/>
      <c r="BC54" s="41"/>
      <c r="BD54" s="41"/>
      <c r="BE54" s="41"/>
      <c r="BF54" s="41"/>
      <c r="BG54" s="41"/>
      <c r="BH54" s="41"/>
      <c r="BI54" s="41"/>
      <c r="BJ54" s="41"/>
      <c r="BK54" s="41"/>
      <c r="BL54" s="41"/>
      <c r="BM54" s="41"/>
      <c r="BN54" s="41"/>
      <c r="BO54" s="41"/>
      <c r="BP54" s="41"/>
      <c r="BQ54" s="41"/>
      <c r="BR54" s="41"/>
      <c r="BS54" s="41"/>
      <c r="BT54" s="41"/>
      <c r="BU54" s="41"/>
      <c r="BV54" s="41"/>
      <c r="BW54" s="41"/>
      <c r="BX54" s="41"/>
      <c r="BY54" s="41"/>
      <c r="BZ54" s="41"/>
      <c r="CA54" s="41"/>
      <c r="CB54" s="41"/>
      <c r="CC54" s="41"/>
      <c r="CD54" s="41"/>
      <c r="CE54" s="41"/>
      <c r="CF54" s="41"/>
      <c r="CG54" s="41"/>
      <c r="CH54" s="41"/>
      <c r="CI54" s="41"/>
      <c r="CJ54" s="41"/>
      <c r="CK54" s="41"/>
      <c r="CL54" s="41"/>
      <c r="CM54" s="41"/>
      <c r="CN54" s="41"/>
      <c r="CO54" s="41"/>
      <c r="CP54" s="41"/>
      <c r="CQ54" s="41"/>
      <c r="CR54" s="41"/>
      <c r="CS54" s="41"/>
      <c r="CT54" s="41"/>
      <c r="CU54" s="41"/>
      <c r="CV54" s="41"/>
      <c r="CW54" s="41"/>
      <c r="CX54" s="41"/>
      <c r="CY54" s="41"/>
      <c r="CZ54" s="41"/>
      <c r="DA54" s="41"/>
      <c r="DB54" s="41"/>
      <c r="DC54" s="41"/>
      <c r="DD54" s="41"/>
      <c r="DE54" s="41"/>
      <c r="DF54" s="41"/>
      <c r="DG54" s="41"/>
      <c r="DH54" s="41"/>
      <c r="DI54" s="41"/>
      <c r="DJ54" s="41"/>
      <c r="DK54" s="57"/>
      <c r="DL54" s="122" t="s">
        <v>103</v>
      </c>
      <c r="DM54" s="123"/>
      <c r="DN54" s="123"/>
      <c r="DO54" s="123"/>
      <c r="DP54" s="123"/>
      <c r="DQ54" s="123"/>
      <c r="DR54" s="144"/>
      <c r="DS54" s="126">
        <f>(DS53*PI()*(DS52)^2 /4)*60*60</f>
        <v>706.85834705770344</v>
      </c>
      <c r="DT54" s="123"/>
      <c r="DU54" s="123"/>
      <c r="DV54" s="123"/>
      <c r="DW54" s="144"/>
      <c r="DX54" s="126" t="s">
        <v>79</v>
      </c>
      <c r="DY54" s="123"/>
      <c r="DZ54" s="123"/>
      <c r="EA54" s="123"/>
      <c r="EB54" s="124"/>
      <c r="ED54" s="75"/>
    </row>
    <row r="55" spans="1:134" x14ac:dyDescent="0.15">
      <c r="A55" s="53">
        <v>54</v>
      </c>
      <c r="B55" s="23"/>
      <c r="C55" s="145"/>
      <c r="D55" s="146"/>
      <c r="E55" s="146"/>
      <c r="F55" s="157"/>
      <c r="G55" s="23"/>
      <c r="H55" s="41"/>
      <c r="I55" s="41"/>
      <c r="J55" s="41"/>
      <c r="K55" s="41"/>
      <c r="L55" s="41"/>
      <c r="M55" s="41"/>
      <c r="N55" s="41"/>
      <c r="O55" s="41"/>
      <c r="P55" s="41"/>
      <c r="Q55" s="41"/>
      <c r="R55" s="41"/>
      <c r="S55" s="41"/>
      <c r="T55" s="41"/>
      <c r="U55" s="41"/>
      <c r="V55" s="41"/>
      <c r="W55" s="41"/>
      <c r="X55" s="41"/>
      <c r="Y55" s="41"/>
      <c r="Z55" s="41"/>
      <c r="AA55" s="41"/>
      <c r="AB55" s="41"/>
      <c r="AC55" s="41"/>
      <c r="AD55" s="41"/>
      <c r="AE55" s="41"/>
      <c r="AF55" s="41"/>
      <c r="AG55" s="41"/>
      <c r="AH55" s="41"/>
      <c r="AI55" s="41"/>
      <c r="AJ55" s="41"/>
      <c r="AK55" s="41"/>
      <c r="AL55" s="41"/>
      <c r="AM55" s="41"/>
      <c r="AN55" s="41"/>
      <c r="AO55" s="41"/>
      <c r="AP55" s="41"/>
      <c r="AQ55" s="41"/>
      <c r="AR55" s="41"/>
      <c r="AS55" s="41"/>
      <c r="AT55" s="41"/>
      <c r="AU55" s="41"/>
      <c r="AV55" s="41"/>
      <c r="AW55" s="41"/>
      <c r="AX55" s="41"/>
      <c r="AY55" s="41"/>
      <c r="AZ55" s="41"/>
      <c r="BA55" s="50"/>
      <c r="BB55" s="41"/>
      <c r="BC55" s="41"/>
      <c r="BD55" s="41"/>
      <c r="BE55" s="41"/>
      <c r="BF55" s="41"/>
      <c r="BG55" s="41"/>
      <c r="BH55" s="41"/>
      <c r="BI55" s="41"/>
      <c r="BJ55" s="41"/>
      <c r="BK55" s="41"/>
      <c r="BL55" s="41"/>
      <c r="BM55" s="41"/>
      <c r="BN55" s="41"/>
      <c r="BO55" s="41"/>
      <c r="BP55" s="41"/>
      <c r="BQ55" s="41"/>
      <c r="BR55" s="41"/>
      <c r="BS55" s="41"/>
      <c r="BT55" s="41"/>
      <c r="BU55" s="41"/>
      <c r="BV55" s="41"/>
      <c r="BW55" s="41"/>
      <c r="BX55" s="41"/>
      <c r="BY55" s="41"/>
      <c r="BZ55" s="41"/>
      <c r="CA55" s="41"/>
      <c r="CB55" s="41"/>
      <c r="CC55" s="41"/>
      <c r="CD55" s="41"/>
      <c r="CE55" s="41"/>
      <c r="CF55" s="41"/>
      <c r="CG55" s="41"/>
      <c r="CH55" s="41"/>
      <c r="CI55" s="41"/>
      <c r="CJ55" s="41"/>
      <c r="CK55" s="41"/>
      <c r="CL55" s="41"/>
      <c r="CM55" s="41"/>
      <c r="CN55" s="41"/>
      <c r="CO55" s="41"/>
      <c r="CP55" s="41"/>
      <c r="CQ55" s="41"/>
      <c r="CR55" s="41"/>
      <c r="CS55" s="41"/>
      <c r="CT55" s="41"/>
      <c r="CU55" s="41"/>
      <c r="CV55" s="41"/>
      <c r="CW55" s="41"/>
      <c r="CX55" s="41"/>
      <c r="CY55" s="41"/>
      <c r="CZ55" s="41"/>
      <c r="DA55" s="41"/>
      <c r="DB55" s="41"/>
      <c r="DC55" s="41"/>
      <c r="DD55" s="41"/>
      <c r="DE55" s="41"/>
      <c r="DF55" s="41"/>
      <c r="DG55" s="41"/>
      <c r="DH55" s="41"/>
      <c r="DI55" s="41"/>
      <c r="DJ55" s="41"/>
      <c r="DK55" s="57"/>
      <c r="DL55" s="122" t="s">
        <v>100</v>
      </c>
      <c r="DM55" s="123"/>
      <c r="DN55" s="123"/>
      <c r="DO55" s="123"/>
      <c r="DP55" s="123"/>
      <c r="DQ55" s="123"/>
      <c r="DR55" s="144"/>
      <c r="DS55" s="126">
        <f ca="1">DS51/DS54</f>
        <v>2.6609967731179243</v>
      </c>
      <c r="DT55" s="123"/>
      <c r="DU55" s="123"/>
      <c r="DV55" s="123"/>
      <c r="DW55" s="144"/>
      <c r="DX55" s="126" t="s">
        <v>81</v>
      </c>
      <c r="DY55" s="123"/>
      <c r="DZ55" s="123"/>
      <c r="EA55" s="123"/>
      <c r="EB55" s="124"/>
      <c r="ED55" s="75"/>
    </row>
    <row r="56" spans="1:134" x14ac:dyDescent="0.15">
      <c r="A56" s="53">
        <v>55</v>
      </c>
      <c r="B56" s="23"/>
      <c r="C56" s="145"/>
      <c r="D56" s="146"/>
      <c r="E56" s="146"/>
      <c r="F56" s="157"/>
      <c r="G56" s="23"/>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50"/>
      <c r="BB56" s="41"/>
      <c r="BC56" s="41"/>
      <c r="BD56" s="41"/>
      <c r="BE56" s="41"/>
      <c r="BF56" s="41"/>
      <c r="BG56" s="41"/>
      <c r="BH56" s="41"/>
      <c r="BI56" s="41"/>
      <c r="BJ56" s="41"/>
      <c r="BK56" s="41"/>
      <c r="BL56" s="41"/>
      <c r="BM56" s="41"/>
      <c r="BN56" s="41"/>
      <c r="BO56" s="41"/>
      <c r="BP56" s="41"/>
      <c r="BQ56" s="41"/>
      <c r="BR56" s="41"/>
      <c r="BS56" s="41"/>
      <c r="BT56" s="41"/>
      <c r="BU56" s="41"/>
      <c r="BV56" s="41"/>
      <c r="BW56" s="41"/>
      <c r="BX56" s="41"/>
      <c r="BY56" s="41"/>
      <c r="BZ56" s="41"/>
      <c r="CA56" s="41"/>
      <c r="CB56" s="41"/>
      <c r="CC56" s="41"/>
      <c r="CD56" s="41"/>
      <c r="CE56" s="41"/>
      <c r="CF56" s="41"/>
      <c r="CG56" s="41"/>
      <c r="CH56" s="41"/>
      <c r="CI56" s="41"/>
      <c r="CJ56" s="41"/>
      <c r="CK56" s="41"/>
      <c r="CL56" s="41"/>
      <c r="CM56" s="41"/>
      <c r="CN56" s="41"/>
      <c r="CO56" s="41"/>
      <c r="CP56" s="41"/>
      <c r="CQ56" s="41"/>
      <c r="CR56" s="41"/>
      <c r="CS56" s="41"/>
      <c r="CT56" s="41"/>
      <c r="CU56" s="41"/>
      <c r="CV56" s="41"/>
      <c r="CW56" s="41"/>
      <c r="CX56" s="41"/>
      <c r="CY56" s="41"/>
      <c r="CZ56" s="41"/>
      <c r="DA56" s="41"/>
      <c r="DB56" s="41"/>
      <c r="DC56" s="41"/>
      <c r="DD56" s="41"/>
      <c r="DE56" s="41"/>
      <c r="DF56" s="41"/>
      <c r="DG56" s="41"/>
      <c r="DH56" s="41"/>
      <c r="DI56" s="41"/>
      <c r="DJ56" s="41"/>
      <c r="DK56" s="57"/>
      <c r="DL56" s="122" t="s">
        <v>105</v>
      </c>
      <c r="DM56" s="123"/>
      <c r="DN56" s="123"/>
      <c r="DO56" s="123"/>
      <c r="DP56" s="123"/>
      <c r="DQ56" s="123"/>
      <c r="DR56" s="144"/>
      <c r="DS56" s="126">
        <v>48</v>
      </c>
      <c r="DT56" s="123"/>
      <c r="DU56" s="123"/>
      <c r="DV56" s="123"/>
      <c r="DW56" s="144"/>
      <c r="DX56" s="126" t="s">
        <v>81</v>
      </c>
      <c r="DY56" s="123"/>
      <c r="DZ56" s="123"/>
      <c r="EA56" s="123"/>
      <c r="EB56" s="124"/>
      <c r="ED56" s="75"/>
    </row>
    <row r="57" spans="1:134" x14ac:dyDescent="0.15">
      <c r="A57" s="52">
        <v>56</v>
      </c>
      <c r="B57" s="23"/>
      <c r="C57" s="145"/>
      <c r="D57" s="146"/>
      <c r="E57" s="146"/>
      <c r="F57" s="157"/>
      <c r="G57" s="23"/>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50"/>
      <c r="BB57" s="41"/>
      <c r="BC57" s="41"/>
      <c r="BD57" s="41"/>
      <c r="BE57" s="41"/>
      <c r="BF57" s="41"/>
      <c r="BG57" s="41"/>
      <c r="BH57" s="41"/>
      <c r="BI57" s="41"/>
      <c r="BJ57" s="41"/>
      <c r="BK57" s="41"/>
      <c r="BL57" s="41"/>
      <c r="BM57" s="41"/>
      <c r="BN57" s="41"/>
      <c r="BO57" s="41"/>
      <c r="BP57" s="41"/>
      <c r="BQ57" s="41"/>
      <c r="BR57" s="41"/>
      <c r="BS57" s="41"/>
      <c r="BT57" s="41"/>
      <c r="BU57" s="41"/>
      <c r="BV57" s="41"/>
      <c r="BW57" s="41"/>
      <c r="BX57" s="41"/>
      <c r="BY57" s="41"/>
      <c r="BZ57" s="41"/>
      <c r="CA57" s="41"/>
      <c r="CB57" s="41"/>
      <c r="CC57" s="41"/>
      <c r="CD57" s="41"/>
      <c r="CE57" s="41"/>
      <c r="CF57" s="41"/>
      <c r="CG57" s="41"/>
      <c r="CH57" s="41"/>
      <c r="CI57" s="41"/>
      <c r="CJ57" s="41"/>
      <c r="CK57" s="41"/>
      <c r="CL57" s="41"/>
      <c r="CM57" s="41"/>
      <c r="CN57" s="41"/>
      <c r="CO57" s="41"/>
      <c r="CP57" s="41"/>
      <c r="CQ57" s="41"/>
      <c r="CR57" s="41"/>
      <c r="CS57" s="41"/>
      <c r="CT57" s="41"/>
      <c r="CU57" s="41"/>
      <c r="CV57" s="41"/>
      <c r="CW57" s="41"/>
      <c r="CX57" s="41"/>
      <c r="CY57" s="41"/>
      <c r="CZ57" s="41"/>
      <c r="DA57" s="41"/>
      <c r="DB57" s="41"/>
      <c r="DC57" s="41"/>
      <c r="DD57" s="41"/>
      <c r="DE57" s="41"/>
      <c r="DF57" s="41"/>
      <c r="DG57" s="41"/>
      <c r="DH57" s="41"/>
      <c r="DI57" s="41"/>
      <c r="DJ57" s="41"/>
      <c r="DK57" s="57"/>
      <c r="DL57" s="122" t="s">
        <v>98</v>
      </c>
      <c r="DM57" s="123"/>
      <c r="DN57" s="123"/>
      <c r="DO57" s="123"/>
      <c r="DP57" s="123"/>
      <c r="DQ57" s="123"/>
      <c r="DR57" s="144"/>
      <c r="DS57" s="126">
        <v>2</v>
      </c>
      <c r="DT57" s="123"/>
      <c r="DU57" s="123"/>
      <c r="DV57" s="123"/>
      <c r="DW57" s="144"/>
      <c r="DX57" s="126" t="s">
        <v>81</v>
      </c>
      <c r="DY57" s="123"/>
      <c r="DZ57" s="123"/>
      <c r="EA57" s="123"/>
      <c r="EB57" s="124"/>
      <c r="ED57" s="75"/>
    </row>
    <row r="58" spans="1:134" x14ac:dyDescent="0.15">
      <c r="A58" s="53">
        <v>57</v>
      </c>
      <c r="B58" s="23"/>
      <c r="C58" s="145"/>
      <c r="D58" s="146"/>
      <c r="E58" s="146"/>
      <c r="F58" s="157"/>
      <c r="G58" s="23"/>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50"/>
      <c r="BB58" s="41"/>
      <c r="BC58" s="41"/>
      <c r="BD58" s="41"/>
      <c r="BE58" s="41"/>
      <c r="BF58" s="41"/>
      <c r="BG58" s="41"/>
      <c r="BH58" s="41"/>
      <c r="BI58" s="41"/>
      <c r="BJ58" s="41"/>
      <c r="BK58" s="41"/>
      <c r="BL58" s="41"/>
      <c r="BM58" s="41"/>
      <c r="BN58" s="41"/>
      <c r="BO58" s="41"/>
      <c r="BP58" s="41"/>
      <c r="BQ58" s="41"/>
      <c r="BR58" s="41"/>
      <c r="BS58" s="41"/>
      <c r="BT58" s="41"/>
      <c r="BU58" s="41"/>
      <c r="BV58" s="41"/>
      <c r="BW58" s="41"/>
      <c r="BX58" s="41"/>
      <c r="BY58" s="41"/>
      <c r="BZ58" s="41"/>
      <c r="CA58" s="41"/>
      <c r="CB58" s="41"/>
      <c r="CC58" s="41"/>
      <c r="CD58" s="41"/>
      <c r="CE58" s="41"/>
      <c r="CF58" s="41"/>
      <c r="CG58" s="41"/>
      <c r="CH58" s="41"/>
      <c r="CI58" s="41"/>
      <c r="CJ58" s="41"/>
      <c r="CK58" s="41"/>
      <c r="CL58" s="41"/>
      <c r="CM58" s="41"/>
      <c r="CN58" s="41"/>
      <c r="CO58" s="41"/>
      <c r="CP58" s="41"/>
      <c r="CQ58" s="41"/>
      <c r="CR58" s="41"/>
      <c r="CS58" s="41"/>
      <c r="CT58" s="41"/>
      <c r="CU58" s="41"/>
      <c r="CV58" s="41"/>
      <c r="CW58" s="41"/>
      <c r="CX58" s="41"/>
      <c r="CY58" s="41"/>
      <c r="CZ58" s="41"/>
      <c r="DA58" s="41"/>
      <c r="DB58" s="41"/>
      <c r="DC58" s="41"/>
      <c r="DD58" s="41"/>
      <c r="DE58" s="41"/>
      <c r="DF58" s="41"/>
      <c r="DG58" s="41"/>
      <c r="DH58" s="41"/>
      <c r="DI58" s="41"/>
      <c r="DJ58" s="41"/>
      <c r="DK58" s="57"/>
      <c r="DL58" s="122" t="s">
        <v>99</v>
      </c>
      <c r="DM58" s="123"/>
      <c r="DN58" s="123"/>
      <c r="DO58" s="123"/>
      <c r="DP58" s="123"/>
      <c r="DQ58" s="123"/>
      <c r="DR58" s="144"/>
      <c r="DS58" s="126">
        <f ca="1">2*DS55+DS56+DS57</f>
        <v>55.321993546235845</v>
      </c>
      <c r="DT58" s="123"/>
      <c r="DU58" s="123"/>
      <c r="DV58" s="123"/>
      <c r="DW58" s="144"/>
      <c r="DX58" s="126" t="s">
        <v>81</v>
      </c>
      <c r="DY58" s="123"/>
      <c r="DZ58" s="123"/>
      <c r="EA58" s="123"/>
      <c r="EB58" s="124"/>
      <c r="ED58" s="75"/>
    </row>
    <row r="59" spans="1:134" x14ac:dyDescent="0.15">
      <c r="A59" s="53">
        <v>58</v>
      </c>
      <c r="B59" s="23"/>
      <c r="C59" s="145"/>
      <c r="D59" s="146"/>
      <c r="E59" s="146"/>
      <c r="F59" s="157"/>
      <c r="G59" s="23"/>
      <c r="H59" s="41"/>
      <c r="I59" s="41"/>
      <c r="J59" s="41"/>
      <c r="K59" s="41"/>
      <c r="L59" s="41"/>
      <c r="M59" s="41"/>
      <c r="N59" s="41"/>
      <c r="O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50"/>
      <c r="BB59" s="41"/>
      <c r="BC59" s="41"/>
      <c r="BD59" s="41"/>
      <c r="BE59" s="41"/>
      <c r="BF59" s="41"/>
      <c r="BG59" s="41"/>
      <c r="BH59" s="41"/>
      <c r="BI59" s="41"/>
      <c r="BJ59" s="41"/>
      <c r="BK59" s="41"/>
      <c r="BL59" s="41"/>
      <c r="BM59" s="41"/>
      <c r="BN59" s="41"/>
      <c r="BO59" s="41"/>
      <c r="BP59" s="41"/>
      <c r="BQ59" s="41"/>
      <c r="BR59" s="41"/>
      <c r="BS59" s="41"/>
      <c r="BT59" s="41"/>
      <c r="BU59" s="41"/>
      <c r="BV59" s="41"/>
      <c r="BW59" s="41"/>
      <c r="BX59" s="41"/>
      <c r="BY59" s="41"/>
      <c r="BZ59" s="41"/>
      <c r="CA59" s="41"/>
      <c r="CB59" s="41"/>
      <c r="CC59" s="41"/>
      <c r="CD59" s="41"/>
      <c r="CE59" s="41"/>
      <c r="CF59" s="41"/>
      <c r="CG59" s="41"/>
      <c r="CH59" s="41"/>
      <c r="CI59" s="41"/>
      <c r="CJ59" s="41"/>
      <c r="CK59" s="41"/>
      <c r="CL59" s="41"/>
      <c r="CM59" s="41"/>
      <c r="CN59" s="41"/>
      <c r="CO59" s="41"/>
      <c r="CP59" s="41"/>
      <c r="CQ59" s="41"/>
      <c r="CR59" s="41"/>
      <c r="CS59" s="41"/>
      <c r="CT59" s="41"/>
      <c r="CU59" s="41"/>
      <c r="CV59" s="41"/>
      <c r="CW59" s="41"/>
      <c r="CX59" s="41"/>
      <c r="CY59" s="41"/>
      <c r="CZ59" s="41"/>
      <c r="DA59" s="41"/>
      <c r="DB59" s="41"/>
      <c r="DC59" s="41"/>
      <c r="DD59" s="41"/>
      <c r="DE59" s="41"/>
      <c r="DF59" s="41"/>
      <c r="DG59" s="41"/>
      <c r="DH59" s="41"/>
      <c r="DI59" s="41"/>
      <c r="DJ59" s="41"/>
      <c r="DK59" s="57"/>
      <c r="DL59" s="122" t="s">
        <v>101</v>
      </c>
      <c r="DM59" s="123"/>
      <c r="DN59" s="123"/>
      <c r="DO59" s="123"/>
      <c r="DP59" s="123"/>
      <c r="DQ59" s="123"/>
      <c r="DR59" s="144"/>
      <c r="DS59" s="126">
        <f ca="1">DS51/DS58</f>
        <v>34</v>
      </c>
      <c r="DT59" s="123"/>
      <c r="DU59" s="123"/>
      <c r="DV59" s="123"/>
      <c r="DW59" s="144"/>
      <c r="DX59" s="126" t="s">
        <v>79</v>
      </c>
      <c r="DY59" s="123"/>
      <c r="DZ59" s="123"/>
      <c r="EA59" s="123"/>
      <c r="EB59" s="124"/>
      <c r="ED59" s="75"/>
    </row>
    <row r="60" spans="1:134" x14ac:dyDescent="0.15">
      <c r="A60" s="53">
        <v>59</v>
      </c>
      <c r="B60" s="24"/>
      <c r="C60" s="36"/>
      <c r="D60" s="37"/>
      <c r="E60" s="37"/>
      <c r="F60" s="38"/>
      <c r="G60" s="24"/>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1"/>
      <c r="BV60" s="41"/>
      <c r="BW60" s="41"/>
      <c r="BX60" s="41"/>
      <c r="BY60" s="41"/>
      <c r="BZ60" s="41"/>
      <c r="CA60" s="41"/>
      <c r="CB60" s="41"/>
      <c r="CC60" s="41"/>
      <c r="CD60" s="41"/>
      <c r="CE60" s="41"/>
      <c r="CF60" s="41"/>
      <c r="CG60" s="41"/>
      <c r="CH60" s="41"/>
      <c r="CI60" s="41"/>
      <c r="CJ60" s="41"/>
      <c r="CK60" s="41"/>
      <c r="CL60" s="41"/>
      <c r="CM60" s="41"/>
      <c r="CN60" s="41"/>
      <c r="CO60" s="41"/>
      <c r="CP60" s="41"/>
      <c r="CQ60" s="41"/>
      <c r="CR60" s="41"/>
      <c r="CS60" s="41"/>
      <c r="CT60" s="41"/>
      <c r="CU60" s="41"/>
      <c r="CV60" s="41"/>
      <c r="CW60" s="41"/>
      <c r="CX60" s="41"/>
      <c r="CY60" s="41"/>
      <c r="CZ60" s="41"/>
      <c r="DA60" s="41"/>
      <c r="DB60" s="41"/>
      <c r="DC60" s="41"/>
      <c r="DD60" s="41"/>
      <c r="DE60" s="41"/>
      <c r="DF60" s="41"/>
      <c r="DG60" s="41"/>
      <c r="DH60" s="41"/>
      <c r="DI60" s="41"/>
      <c r="DJ60" s="41"/>
      <c r="DK60" s="57"/>
      <c r="DL60" s="122" t="s">
        <v>102</v>
      </c>
      <c r="DM60" s="123"/>
      <c r="DN60" s="123"/>
      <c r="DO60" s="123"/>
      <c r="DP60" s="123"/>
      <c r="DQ60" s="123"/>
      <c r="DR60" s="144"/>
      <c r="DS60" s="143">
        <f ca="1">DS59*DS50</f>
        <v>170</v>
      </c>
      <c r="DT60" s="123"/>
      <c r="DU60" s="123"/>
      <c r="DV60" s="123"/>
      <c r="DW60" s="144"/>
      <c r="DX60" s="123" t="s">
        <v>79</v>
      </c>
      <c r="DY60" s="123"/>
      <c r="DZ60" s="123"/>
      <c r="EA60" s="123"/>
      <c r="EB60" s="124"/>
      <c r="ED60" s="75"/>
    </row>
    <row r="61" spans="1:134" x14ac:dyDescent="0.15">
      <c r="A61" s="53">
        <v>60</v>
      </c>
      <c r="B61" s="129"/>
      <c r="C61" s="130"/>
      <c r="D61" s="130"/>
      <c r="E61" s="130"/>
      <c r="F61" s="130"/>
      <c r="G61" s="130"/>
      <c r="H61" s="130"/>
      <c r="I61" s="130"/>
      <c r="J61" s="130"/>
      <c r="K61" s="130"/>
      <c r="L61" s="130"/>
      <c r="M61" s="130"/>
      <c r="N61" s="130"/>
      <c r="O61" s="130"/>
      <c r="P61" s="130"/>
      <c r="Q61" s="130"/>
      <c r="R61" s="130"/>
      <c r="S61" s="130"/>
      <c r="T61" s="130"/>
      <c r="U61" s="130"/>
      <c r="V61" s="130"/>
      <c r="W61" s="130"/>
      <c r="X61" s="130"/>
      <c r="Y61" s="130"/>
      <c r="Z61" s="130"/>
      <c r="AA61" s="130"/>
      <c r="AB61" s="130"/>
      <c r="AC61" s="130"/>
      <c r="AD61" s="130"/>
      <c r="AE61" s="130"/>
      <c r="AF61" s="130"/>
      <c r="AG61" s="130"/>
      <c r="AH61" s="130"/>
      <c r="AI61" s="130"/>
      <c r="AJ61" s="130"/>
      <c r="AK61" s="130"/>
      <c r="AL61" s="130"/>
      <c r="AM61" s="130"/>
      <c r="AN61" s="130"/>
      <c r="AO61" s="130"/>
      <c r="AP61" s="130"/>
      <c r="AQ61" s="130"/>
      <c r="AR61" s="130"/>
      <c r="AS61" s="130"/>
      <c r="AT61" s="130"/>
      <c r="AU61" s="130"/>
      <c r="AV61" s="130"/>
      <c r="AW61" s="130"/>
      <c r="AX61" s="130"/>
      <c r="AY61" s="130"/>
      <c r="AZ61" s="130"/>
      <c r="BA61" s="130"/>
      <c r="BB61" s="130"/>
      <c r="BC61" s="130"/>
      <c r="BD61" s="130"/>
      <c r="BE61" s="130"/>
      <c r="BF61" s="130"/>
      <c r="BG61" s="130"/>
      <c r="BH61" s="130"/>
      <c r="BI61" s="130"/>
      <c r="BJ61" s="130"/>
      <c r="BK61" s="130"/>
      <c r="BL61" s="130"/>
      <c r="BM61" s="130"/>
      <c r="BN61" s="130"/>
      <c r="BO61" s="130"/>
      <c r="BP61" s="130"/>
      <c r="BQ61" s="130"/>
      <c r="BR61" s="130"/>
      <c r="BS61" s="130"/>
      <c r="BT61" s="131"/>
      <c r="BU61" s="51" t="s">
        <v>4</v>
      </c>
      <c r="BV61" s="25"/>
      <c r="BW61" s="26"/>
      <c r="BX61" s="27"/>
      <c r="BY61" s="25"/>
      <c r="BZ61" s="25"/>
      <c r="CA61" s="25"/>
      <c r="CB61" s="25"/>
      <c r="CC61" s="25"/>
      <c r="CD61" s="25"/>
      <c r="CE61" s="25" t="s">
        <v>5</v>
      </c>
      <c r="CF61" s="25"/>
      <c r="CG61" s="25"/>
      <c r="CH61" s="25"/>
      <c r="CI61" s="25"/>
      <c r="CJ61" s="25"/>
      <c r="CK61" s="25"/>
      <c r="CL61" s="25"/>
      <c r="CM61" s="25"/>
      <c r="CN61" s="25"/>
      <c r="CO61" s="25"/>
      <c r="CP61" s="25"/>
      <c r="CQ61" s="25"/>
      <c r="CR61" s="26"/>
      <c r="CS61" s="27"/>
      <c r="CT61" s="25"/>
      <c r="CU61" s="28" t="s">
        <v>6</v>
      </c>
      <c r="CV61" s="29"/>
      <c r="CW61" s="30"/>
      <c r="CX61" s="27"/>
      <c r="CY61" s="25"/>
      <c r="CZ61" s="25" t="s">
        <v>7</v>
      </c>
      <c r="DA61" s="25"/>
      <c r="DB61" s="26"/>
      <c r="DC61" s="27"/>
      <c r="DD61" s="25" t="s">
        <v>8</v>
      </c>
      <c r="DE61" s="25"/>
      <c r="DF61" s="25"/>
      <c r="DG61" s="26"/>
      <c r="DH61" s="27" t="s">
        <v>9</v>
      </c>
      <c r="DI61" s="25"/>
      <c r="DJ61" s="25"/>
      <c r="DK61" s="25"/>
      <c r="DL61" s="26"/>
      <c r="DM61" s="31" t="s">
        <v>10</v>
      </c>
      <c r="DN61" s="31"/>
      <c r="DO61" s="31"/>
      <c r="DP61" s="32"/>
      <c r="DQ61" s="31"/>
      <c r="DR61" s="32"/>
      <c r="DS61" s="31"/>
      <c r="DT61" s="32"/>
      <c r="DU61" s="32"/>
      <c r="DV61" s="32"/>
      <c r="DW61" s="32"/>
      <c r="DX61" s="56"/>
      <c r="DY61" s="56"/>
      <c r="DZ61" s="56"/>
      <c r="EA61" s="59"/>
      <c r="EB61" s="60"/>
      <c r="ED61" s="75"/>
    </row>
    <row r="62" spans="1:134" x14ac:dyDescent="0.15">
      <c r="A62" s="52">
        <v>61</v>
      </c>
      <c r="B62" s="132"/>
      <c r="C62" s="133"/>
      <c r="D62" s="133"/>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c r="BM62" s="133"/>
      <c r="BN62" s="133"/>
      <c r="BO62" s="133"/>
      <c r="BP62" s="133"/>
      <c r="BQ62" s="133"/>
      <c r="BR62" s="133"/>
      <c r="BS62" s="133"/>
      <c r="BT62" s="134"/>
      <c r="BU62" s="8"/>
      <c r="BV62" s="9"/>
      <c r="BW62" s="10"/>
      <c r="BX62" s="34"/>
      <c r="BY62" s="9"/>
      <c r="BZ62" s="9"/>
      <c r="CA62" s="9"/>
      <c r="CB62" s="9"/>
      <c r="CC62" s="9"/>
      <c r="CD62" s="9"/>
      <c r="CE62" s="9"/>
      <c r="CF62" s="9"/>
      <c r="CG62" s="9"/>
      <c r="CH62" s="9"/>
      <c r="CI62" s="9"/>
      <c r="CJ62" s="9"/>
      <c r="CK62" s="9"/>
      <c r="CL62" s="9"/>
      <c r="CM62" s="9"/>
      <c r="CN62" s="9"/>
      <c r="CO62" s="9"/>
      <c r="CP62" s="9"/>
      <c r="CQ62" s="9"/>
      <c r="CR62" s="10"/>
      <c r="CS62" s="34"/>
      <c r="CT62" s="9"/>
      <c r="CU62" s="9"/>
      <c r="CV62" s="9"/>
      <c r="CW62" s="10"/>
      <c r="CX62" s="34"/>
      <c r="CY62" s="9"/>
      <c r="CZ62" s="9"/>
      <c r="DA62" s="9"/>
      <c r="DB62" s="10"/>
      <c r="DC62" s="34"/>
      <c r="DD62" s="9"/>
      <c r="DE62" s="9"/>
      <c r="DF62" s="9"/>
      <c r="DG62" s="10"/>
      <c r="DH62" s="34"/>
      <c r="DI62" s="9"/>
      <c r="DJ62" s="9"/>
      <c r="DK62" s="9"/>
      <c r="DL62" s="10"/>
      <c r="DM62" s="11"/>
      <c r="DN62" s="11"/>
      <c r="DO62" s="11"/>
      <c r="DP62" s="11"/>
      <c r="DQ62" s="11"/>
      <c r="DR62" s="11"/>
      <c r="DS62" s="11"/>
      <c r="DT62" s="11"/>
      <c r="DU62" s="11"/>
      <c r="DV62" s="11"/>
      <c r="DW62" s="11"/>
      <c r="DX62" s="11"/>
      <c r="DY62" s="11"/>
      <c r="DZ62" s="11"/>
      <c r="EA62" s="11"/>
      <c r="EB62" s="22"/>
      <c r="ED62" s="75"/>
    </row>
    <row r="63" spans="1:134" x14ac:dyDescent="0.15">
      <c r="A63" s="53">
        <v>62</v>
      </c>
      <c r="B63" s="132"/>
      <c r="C63" s="133"/>
      <c r="D63" s="133"/>
      <c r="E63" s="133"/>
      <c r="F63" s="133"/>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T63" s="133"/>
      <c r="AU63" s="133"/>
      <c r="AV63" s="133"/>
      <c r="AW63" s="133"/>
      <c r="AX63" s="133"/>
      <c r="AY63" s="133"/>
      <c r="AZ63" s="133"/>
      <c r="BA63" s="133"/>
      <c r="BB63" s="133"/>
      <c r="BC63" s="133"/>
      <c r="BD63" s="133"/>
      <c r="BE63" s="133"/>
      <c r="BF63" s="133"/>
      <c r="BG63" s="133"/>
      <c r="BH63" s="133"/>
      <c r="BI63" s="133"/>
      <c r="BJ63" s="133"/>
      <c r="BK63" s="133"/>
      <c r="BL63" s="133"/>
      <c r="BM63" s="133"/>
      <c r="BN63" s="133"/>
      <c r="BO63" s="133"/>
      <c r="BP63" s="133"/>
      <c r="BQ63" s="133"/>
      <c r="BR63" s="133"/>
      <c r="BS63" s="133"/>
      <c r="BT63" s="134"/>
      <c r="BU63" s="8"/>
      <c r="BV63" s="9"/>
      <c r="BW63" s="10"/>
      <c r="BX63" s="34"/>
      <c r="BY63" s="9"/>
      <c r="BZ63" s="9"/>
      <c r="CA63" s="9"/>
      <c r="CB63" s="9"/>
      <c r="CC63" s="9"/>
      <c r="CD63" s="9"/>
      <c r="CE63" s="9"/>
      <c r="CF63" s="9"/>
      <c r="CG63" s="9"/>
      <c r="CH63" s="9"/>
      <c r="CI63" s="9"/>
      <c r="CJ63" s="9"/>
      <c r="CK63" s="9"/>
      <c r="CL63" s="9"/>
      <c r="CM63" s="9"/>
      <c r="CN63" s="9"/>
      <c r="CO63" s="9"/>
      <c r="CP63" s="9"/>
      <c r="CQ63" s="9"/>
      <c r="CR63" s="10"/>
      <c r="CS63" s="34"/>
      <c r="CT63" s="9"/>
      <c r="CU63" s="9"/>
      <c r="CV63" s="9"/>
      <c r="CW63" s="10"/>
      <c r="CX63" s="34"/>
      <c r="CY63" s="9"/>
      <c r="CZ63" s="9"/>
      <c r="DA63" s="9"/>
      <c r="DB63" s="10"/>
      <c r="DC63" s="34"/>
      <c r="DD63" s="9"/>
      <c r="DE63" s="9"/>
      <c r="DF63" s="9"/>
      <c r="DG63" s="10"/>
      <c r="DH63" s="34"/>
      <c r="DI63" s="9"/>
      <c r="DJ63" s="9"/>
      <c r="DK63" s="9"/>
      <c r="DL63" s="10"/>
      <c r="DM63" s="11"/>
      <c r="DN63" s="138">
        <f>DN5</f>
        <v>0</v>
      </c>
      <c r="DO63" s="138"/>
      <c r="DP63" s="138"/>
      <c r="DQ63" s="138"/>
      <c r="DR63" s="138"/>
      <c r="DS63" s="138"/>
      <c r="DT63" s="138"/>
      <c r="DU63" s="138"/>
      <c r="DV63" s="138"/>
      <c r="DW63" s="138"/>
      <c r="DX63" s="138"/>
      <c r="DY63" s="138"/>
      <c r="DZ63" s="138"/>
      <c r="EA63" s="138"/>
      <c r="EB63" s="22"/>
      <c r="ED63" s="75"/>
    </row>
    <row r="64" spans="1:134" x14ac:dyDescent="0.15">
      <c r="A64" s="53">
        <v>63</v>
      </c>
      <c r="B64" s="132"/>
      <c r="C64" s="133"/>
      <c r="D64" s="133"/>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c r="BM64" s="133"/>
      <c r="BN64" s="133"/>
      <c r="BO64" s="133"/>
      <c r="BP64" s="133"/>
      <c r="BQ64" s="133"/>
      <c r="BR64" s="133"/>
      <c r="BS64" s="133"/>
      <c r="BT64" s="134"/>
      <c r="BU64" s="8"/>
      <c r="BV64" s="9"/>
      <c r="BW64" s="10"/>
      <c r="BX64" s="34"/>
      <c r="BY64" s="9"/>
      <c r="BZ64" s="9"/>
      <c r="CA64" s="9"/>
      <c r="CB64" s="9"/>
      <c r="CC64" s="9"/>
      <c r="CD64" s="9"/>
      <c r="CE64" s="9"/>
      <c r="CF64" s="9"/>
      <c r="CG64" s="9"/>
      <c r="CH64" s="9"/>
      <c r="CI64" s="9"/>
      <c r="CJ64" s="9"/>
      <c r="CK64" s="9"/>
      <c r="CL64" s="9"/>
      <c r="CM64" s="9"/>
      <c r="CN64" s="9"/>
      <c r="CO64" s="9"/>
      <c r="CP64" s="9"/>
      <c r="CQ64" s="9"/>
      <c r="CR64" s="10"/>
      <c r="CS64" s="34"/>
      <c r="CT64" s="9"/>
      <c r="CU64" s="9"/>
      <c r="CV64" s="9"/>
      <c r="CW64" s="10"/>
      <c r="CX64" s="34"/>
      <c r="CY64" s="9"/>
      <c r="CZ64" s="9"/>
      <c r="DA64" s="9"/>
      <c r="DB64" s="10"/>
      <c r="DC64" s="34"/>
      <c r="DD64" s="9"/>
      <c r="DE64" s="9"/>
      <c r="DF64" s="9"/>
      <c r="DG64" s="10"/>
      <c r="DH64" s="34"/>
      <c r="DI64" s="9"/>
      <c r="DJ64" s="9"/>
      <c r="DK64" s="9"/>
      <c r="DL64" s="10"/>
      <c r="DM64" s="9"/>
      <c r="DN64" s="9"/>
      <c r="DO64" s="9"/>
      <c r="DP64" s="9"/>
      <c r="DQ64" s="9"/>
      <c r="DR64" s="9"/>
      <c r="DS64" s="9"/>
      <c r="DT64" s="9"/>
      <c r="DU64" s="9"/>
      <c r="DV64" s="9"/>
      <c r="DW64" s="9"/>
      <c r="DX64" s="9"/>
      <c r="DY64" s="9"/>
      <c r="DZ64" s="9"/>
      <c r="EA64" s="9"/>
      <c r="EB64" s="15"/>
      <c r="ED64" s="75"/>
    </row>
    <row r="65" spans="1:134" x14ac:dyDescent="0.15">
      <c r="A65" s="53">
        <v>64</v>
      </c>
      <c r="B65" s="135"/>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136"/>
      <c r="BG65" s="136"/>
      <c r="BH65" s="136"/>
      <c r="BI65" s="136"/>
      <c r="BJ65" s="136"/>
      <c r="BK65" s="136"/>
      <c r="BL65" s="136"/>
      <c r="BM65" s="136"/>
      <c r="BN65" s="136"/>
      <c r="BO65" s="136"/>
      <c r="BP65" s="136"/>
      <c r="BQ65" s="136"/>
      <c r="BR65" s="136"/>
      <c r="BS65" s="136"/>
      <c r="BT65" s="137"/>
      <c r="BU65" s="16"/>
      <c r="BV65" s="17"/>
      <c r="BW65" s="18"/>
      <c r="BX65" s="35"/>
      <c r="BY65" s="17"/>
      <c r="BZ65" s="17"/>
      <c r="CA65" s="17"/>
      <c r="CB65" s="17"/>
      <c r="CC65" s="17"/>
      <c r="CD65" s="17"/>
      <c r="CE65" s="17"/>
      <c r="CF65" s="17"/>
      <c r="CG65" s="17"/>
      <c r="CH65" s="17"/>
      <c r="CI65" s="17"/>
      <c r="CJ65" s="17"/>
      <c r="CK65" s="17"/>
      <c r="CL65" s="17"/>
      <c r="CM65" s="17"/>
      <c r="CN65" s="17"/>
      <c r="CO65" s="17"/>
      <c r="CP65" s="17"/>
      <c r="CQ65" s="17"/>
      <c r="CR65" s="18"/>
      <c r="CS65" s="35"/>
      <c r="CT65" s="17"/>
      <c r="CU65" s="17"/>
      <c r="CV65" s="17"/>
      <c r="CW65" s="18"/>
      <c r="CX65" s="35"/>
      <c r="CY65" s="17"/>
      <c r="CZ65" s="17"/>
      <c r="DA65" s="17"/>
      <c r="DB65" s="18"/>
      <c r="DC65" s="35"/>
      <c r="DD65" s="17"/>
      <c r="DE65" s="17"/>
      <c r="DF65" s="17"/>
      <c r="DG65" s="18"/>
      <c r="DH65" s="35"/>
      <c r="DI65" s="17"/>
      <c r="DJ65" s="17"/>
      <c r="DK65" s="17"/>
      <c r="DL65" s="18"/>
      <c r="DM65" s="127" t="s">
        <v>17</v>
      </c>
      <c r="DN65" s="110"/>
      <c r="DO65" s="110"/>
      <c r="DP65" s="110"/>
      <c r="DQ65" s="110">
        <v>2</v>
      </c>
      <c r="DR65" s="110"/>
      <c r="DS65" s="110"/>
      <c r="DT65" s="110" t="s">
        <v>11</v>
      </c>
      <c r="DU65" s="110"/>
      <c r="DV65" s="110"/>
      <c r="DW65" s="110"/>
      <c r="DX65" s="110"/>
      <c r="DY65" s="110"/>
      <c r="DZ65" s="110"/>
      <c r="EA65" s="110"/>
      <c r="EB65" s="20"/>
      <c r="ED65" s="75"/>
    </row>
    <row r="66" spans="1:134" x14ac:dyDescent="0.15">
      <c r="ED66" s="75"/>
    </row>
    <row r="67" spans="1:134" x14ac:dyDescent="0.15">
      <c r="ED67" s="75"/>
    </row>
    <row r="68" spans="1:134" x14ac:dyDescent="0.15">
      <c r="ED68" s="75"/>
    </row>
  </sheetData>
  <scenarios current="0" show="0">
    <scenario name="10% solids" locked="1" count="1" user="jack housego-woolgar" comment="Created by jack housego-woolgar on 19/10/2023_x000a_Modified by jack housego-woolgar on 19/10/2023">
      <inputCells r="AX25" val="0.15"/>
    </scenario>
  </scenarios>
  <mergeCells count="984">
    <mergeCell ref="DX49:EB49"/>
    <mergeCell ref="DS49:DW49"/>
    <mergeCell ref="DL49:DR49"/>
    <mergeCell ref="DX48:EB48"/>
    <mergeCell ref="DS32:DW32"/>
    <mergeCell ref="DS48:DW48"/>
    <mergeCell ref="DX53:EB53"/>
    <mergeCell ref="DX51:EB51"/>
    <mergeCell ref="DS51:DW51"/>
    <mergeCell ref="DL51:DR51"/>
    <mergeCell ref="DX50:EB50"/>
    <mergeCell ref="DS50:DW50"/>
    <mergeCell ref="DL50:DR50"/>
    <mergeCell ref="DS53:DW53"/>
    <mergeCell ref="DL53:DR53"/>
    <mergeCell ref="DX52:EB52"/>
    <mergeCell ref="DS52:DW52"/>
    <mergeCell ref="DL52:DR52"/>
    <mergeCell ref="DS43:DW43"/>
    <mergeCell ref="DX43:EB43"/>
    <mergeCell ref="DX44:EB44"/>
    <mergeCell ref="DX41:EB41"/>
    <mergeCell ref="DL44:DR44"/>
    <mergeCell ref="DS44:DW44"/>
    <mergeCell ref="DX54:EB54"/>
    <mergeCell ref="DX55:EB55"/>
    <mergeCell ref="DS55:DW55"/>
    <mergeCell ref="DL55:DR55"/>
    <mergeCell ref="DS54:DW54"/>
    <mergeCell ref="DL54:DR54"/>
    <mergeCell ref="DX57:EB57"/>
    <mergeCell ref="DS57:DW57"/>
    <mergeCell ref="DL57:DR57"/>
    <mergeCell ref="DO5:EB5"/>
    <mergeCell ref="BT6:BX6"/>
    <mergeCell ref="BY6:CM6"/>
    <mergeCell ref="DO6:EB6"/>
    <mergeCell ref="DO7:EB7"/>
    <mergeCell ref="C8:F8"/>
    <mergeCell ref="G8:N8"/>
    <mergeCell ref="O8:X8"/>
    <mergeCell ref="Y8:AH8"/>
    <mergeCell ref="AI8:AR8"/>
    <mergeCell ref="B2:BS7"/>
    <mergeCell ref="BT2:BX2"/>
    <mergeCell ref="BY2:CM2"/>
    <mergeCell ref="DF2:EA4"/>
    <mergeCell ref="BT3:BX3"/>
    <mergeCell ref="BY3:CM3"/>
    <mergeCell ref="BT4:BX4"/>
    <mergeCell ref="BY4:CM4"/>
    <mergeCell ref="BT5:BX5"/>
    <mergeCell ref="BY5:CM5"/>
    <mergeCell ref="BW9:CF9"/>
    <mergeCell ref="CG9:CP9"/>
    <mergeCell ref="CQ9:CZ9"/>
    <mergeCell ref="DA9:DJ9"/>
    <mergeCell ref="DL9:DW9"/>
    <mergeCell ref="DX9:EB9"/>
    <mergeCell ref="DA8:DJ8"/>
    <mergeCell ref="DL8:EB8"/>
    <mergeCell ref="C9:F9"/>
    <mergeCell ref="G9:N9"/>
    <mergeCell ref="O9:X9"/>
    <mergeCell ref="Y9:AH9"/>
    <mergeCell ref="AI9:AR9"/>
    <mergeCell ref="AS9:BB9"/>
    <mergeCell ref="BC9:BL9"/>
    <mergeCell ref="BM9:BV9"/>
    <mergeCell ref="AS8:BB8"/>
    <mergeCell ref="BC8:BL8"/>
    <mergeCell ref="BM8:BV8"/>
    <mergeCell ref="BW8:CF8"/>
    <mergeCell ref="CG8:CP8"/>
    <mergeCell ref="CQ8:CZ8"/>
    <mergeCell ref="AN10:AR10"/>
    <mergeCell ref="AS10:AW10"/>
    <mergeCell ref="AX10:BB10"/>
    <mergeCell ref="BC10:BG10"/>
    <mergeCell ref="C10:F10"/>
    <mergeCell ref="G10:K10"/>
    <mergeCell ref="L10:N10"/>
    <mergeCell ref="O10:S10"/>
    <mergeCell ref="T10:X10"/>
    <mergeCell ref="Y10:AC10"/>
    <mergeCell ref="DS10:DW10"/>
    <mergeCell ref="DX10:EB10"/>
    <mergeCell ref="C11:F11"/>
    <mergeCell ref="G11:K11"/>
    <mergeCell ref="L11:N11"/>
    <mergeCell ref="O11:S11"/>
    <mergeCell ref="T11:X11"/>
    <mergeCell ref="Y11:AC11"/>
    <mergeCell ref="AD11:AH11"/>
    <mergeCell ref="AI11:AM11"/>
    <mergeCell ref="CL10:CP10"/>
    <mergeCell ref="CQ10:CU10"/>
    <mergeCell ref="CV10:CZ10"/>
    <mergeCell ref="DA10:DE10"/>
    <mergeCell ref="DF10:DJ10"/>
    <mergeCell ref="DL10:DR10"/>
    <mergeCell ref="BH10:BL10"/>
    <mergeCell ref="BM10:BQ10"/>
    <mergeCell ref="BR10:BV10"/>
    <mergeCell ref="BW10:CA10"/>
    <mergeCell ref="CB10:CF10"/>
    <mergeCell ref="CG10:CK10"/>
    <mergeCell ref="AD10:AH10"/>
    <mergeCell ref="AI10:AM10"/>
    <mergeCell ref="DL11:DR11"/>
    <mergeCell ref="DS11:DW11"/>
    <mergeCell ref="DX11:EB11"/>
    <mergeCell ref="BR11:BV11"/>
    <mergeCell ref="BW11:CA11"/>
    <mergeCell ref="CB11:CF11"/>
    <mergeCell ref="CG11:CK11"/>
    <mergeCell ref="CL11:CP11"/>
    <mergeCell ref="CQ11:CU11"/>
    <mergeCell ref="G12:K12"/>
    <mergeCell ref="L12:N12"/>
    <mergeCell ref="O12:S12"/>
    <mergeCell ref="T12:X12"/>
    <mergeCell ref="Y12:AC12"/>
    <mergeCell ref="CV11:CZ11"/>
    <mergeCell ref="DA11:DE11"/>
    <mergeCell ref="DF11:DJ11"/>
    <mergeCell ref="AN11:AR11"/>
    <mergeCell ref="AS11:AW11"/>
    <mergeCell ref="AX11:BB11"/>
    <mergeCell ref="BC11:BG11"/>
    <mergeCell ref="BH11:BL11"/>
    <mergeCell ref="BM11:BQ11"/>
    <mergeCell ref="BR12:BV12"/>
    <mergeCell ref="BW12:CA12"/>
    <mergeCell ref="CB12:CF12"/>
    <mergeCell ref="CG12:CK12"/>
    <mergeCell ref="AD12:AH12"/>
    <mergeCell ref="AI12:AM12"/>
    <mergeCell ref="AN12:AR12"/>
    <mergeCell ref="AS12:AW12"/>
    <mergeCell ref="AX12:BB12"/>
    <mergeCell ref="DS12:DW12"/>
    <mergeCell ref="DX12:EB12"/>
    <mergeCell ref="CQ12:CU12"/>
    <mergeCell ref="CV12:CZ12"/>
    <mergeCell ref="DA12:DE12"/>
    <mergeCell ref="DF12:DJ12"/>
    <mergeCell ref="DL12:DR12"/>
    <mergeCell ref="CV13:CZ13"/>
    <mergeCell ref="DA13:DE13"/>
    <mergeCell ref="DF13:DJ13"/>
    <mergeCell ref="DL13:DR13"/>
    <mergeCell ref="DS13:DW13"/>
    <mergeCell ref="DX13:EB13"/>
    <mergeCell ref="CQ13:CU13"/>
    <mergeCell ref="C13:F13"/>
    <mergeCell ref="G13:K13"/>
    <mergeCell ref="L13:N13"/>
    <mergeCell ref="O13:S13"/>
    <mergeCell ref="T13:X13"/>
    <mergeCell ref="Y13:AC13"/>
    <mergeCell ref="AD13:AH13"/>
    <mergeCell ref="AI13:AM13"/>
    <mergeCell ref="CL12:CP12"/>
    <mergeCell ref="BH12:BL12"/>
    <mergeCell ref="BM12:BQ12"/>
    <mergeCell ref="BR13:BV13"/>
    <mergeCell ref="BW13:CA13"/>
    <mergeCell ref="CB13:CF13"/>
    <mergeCell ref="CG13:CK13"/>
    <mergeCell ref="CL13:CP13"/>
    <mergeCell ref="BC12:BG12"/>
    <mergeCell ref="AN13:AR13"/>
    <mergeCell ref="AS13:AW13"/>
    <mergeCell ref="AX13:BB13"/>
    <mergeCell ref="BC13:BG13"/>
    <mergeCell ref="BH13:BL13"/>
    <mergeCell ref="BM13:BQ13"/>
    <mergeCell ref="C12:F12"/>
    <mergeCell ref="AN14:AR14"/>
    <mergeCell ref="AS14:AW14"/>
    <mergeCell ref="AX14:BB14"/>
    <mergeCell ref="BC14:BG14"/>
    <mergeCell ref="C14:F14"/>
    <mergeCell ref="G14:K14"/>
    <mergeCell ref="L14:N14"/>
    <mergeCell ref="O14:S14"/>
    <mergeCell ref="T14:X14"/>
    <mergeCell ref="Y14:AC14"/>
    <mergeCell ref="DS14:DW14"/>
    <mergeCell ref="DX14:EB14"/>
    <mergeCell ref="C15:F15"/>
    <mergeCell ref="G15:K15"/>
    <mergeCell ref="L15:N15"/>
    <mergeCell ref="O15:S15"/>
    <mergeCell ref="T15:X15"/>
    <mergeCell ref="Y15:AC15"/>
    <mergeCell ref="AD15:AH15"/>
    <mergeCell ref="AI15:AM15"/>
    <mergeCell ref="CL14:CP14"/>
    <mergeCell ref="CQ14:CU14"/>
    <mergeCell ref="CV14:CZ14"/>
    <mergeCell ref="DA14:DE14"/>
    <mergeCell ref="DF14:DJ14"/>
    <mergeCell ref="DL14:DR14"/>
    <mergeCell ref="BH14:BL14"/>
    <mergeCell ref="BM14:BQ14"/>
    <mergeCell ref="BR14:BV14"/>
    <mergeCell ref="BW14:CA14"/>
    <mergeCell ref="CB14:CF14"/>
    <mergeCell ref="CG14:CK14"/>
    <mergeCell ref="AD14:AH14"/>
    <mergeCell ref="AI14:AM14"/>
    <mergeCell ref="DL15:DR15"/>
    <mergeCell ref="DS15:DW15"/>
    <mergeCell ref="DX15:EB15"/>
    <mergeCell ref="BR15:BV15"/>
    <mergeCell ref="BW15:CA15"/>
    <mergeCell ref="CB15:CF15"/>
    <mergeCell ref="CG15:CK15"/>
    <mergeCell ref="CL15:CP15"/>
    <mergeCell ref="CQ15:CU15"/>
    <mergeCell ref="G16:K16"/>
    <mergeCell ref="L16:N16"/>
    <mergeCell ref="O16:S16"/>
    <mergeCell ref="T16:X16"/>
    <mergeCell ref="Y16:AC16"/>
    <mergeCell ref="CV15:CZ15"/>
    <mergeCell ref="DA15:DE15"/>
    <mergeCell ref="DF15:DJ15"/>
    <mergeCell ref="AN15:AR15"/>
    <mergeCell ref="AS15:AW15"/>
    <mergeCell ref="AX15:BB15"/>
    <mergeCell ref="BC15:BG15"/>
    <mergeCell ref="BH15:BL15"/>
    <mergeCell ref="BM15:BQ15"/>
    <mergeCell ref="BR16:BV16"/>
    <mergeCell ref="BW16:CA16"/>
    <mergeCell ref="CB16:CF16"/>
    <mergeCell ref="CG16:CK16"/>
    <mergeCell ref="AD16:AH16"/>
    <mergeCell ref="AI16:AM16"/>
    <mergeCell ref="AN16:AR16"/>
    <mergeCell ref="AS16:AW16"/>
    <mergeCell ref="AX16:BB16"/>
    <mergeCell ref="DS16:DW16"/>
    <mergeCell ref="DX16:EB16"/>
    <mergeCell ref="CQ16:CU16"/>
    <mergeCell ref="CV16:CZ16"/>
    <mergeCell ref="DA16:DE16"/>
    <mergeCell ref="DF16:DJ16"/>
    <mergeCell ref="DL16:DR16"/>
    <mergeCell ref="CV17:CZ17"/>
    <mergeCell ref="DA17:DE17"/>
    <mergeCell ref="DF17:DJ17"/>
    <mergeCell ref="DL17:DR17"/>
    <mergeCell ref="DS17:DW17"/>
    <mergeCell ref="DX17:EB17"/>
    <mergeCell ref="CQ17:CU17"/>
    <mergeCell ref="C17:F17"/>
    <mergeCell ref="G17:K17"/>
    <mergeCell ref="L17:N17"/>
    <mergeCell ref="O17:S17"/>
    <mergeCell ref="T17:X17"/>
    <mergeCell ref="Y17:AC17"/>
    <mergeCell ref="AD17:AH17"/>
    <mergeCell ref="AI17:AM17"/>
    <mergeCell ref="CL16:CP16"/>
    <mergeCell ref="BH16:BL16"/>
    <mergeCell ref="BM16:BQ16"/>
    <mergeCell ref="BR17:BV17"/>
    <mergeCell ref="BW17:CA17"/>
    <mergeCell ref="CB17:CF17"/>
    <mergeCell ref="CG17:CK17"/>
    <mergeCell ref="CL17:CP17"/>
    <mergeCell ref="BC16:BG16"/>
    <mergeCell ref="AN17:AR17"/>
    <mergeCell ref="AS17:AW17"/>
    <mergeCell ref="AX17:BB17"/>
    <mergeCell ref="BC17:BG17"/>
    <mergeCell ref="BH17:BL17"/>
    <mergeCell ref="BM17:BQ17"/>
    <mergeCell ref="C16:F16"/>
    <mergeCell ref="AS18:AW18"/>
    <mergeCell ref="AX18:BB18"/>
    <mergeCell ref="BC18:BG18"/>
    <mergeCell ref="BH18:BL18"/>
    <mergeCell ref="G18:K18"/>
    <mergeCell ref="L18:N18"/>
    <mergeCell ref="O18:S18"/>
    <mergeCell ref="T18:X18"/>
    <mergeCell ref="Y18:AC18"/>
    <mergeCell ref="AD18:AH18"/>
    <mergeCell ref="DX18:EB18"/>
    <mergeCell ref="G19:K19"/>
    <mergeCell ref="L19:N19"/>
    <mergeCell ref="O19:S19"/>
    <mergeCell ref="T19:X19"/>
    <mergeCell ref="Y19:AC19"/>
    <mergeCell ref="AD19:AH19"/>
    <mergeCell ref="AI19:AM19"/>
    <mergeCell ref="AN19:AR19"/>
    <mergeCell ref="AS19:AW19"/>
    <mergeCell ref="CQ18:CU18"/>
    <mergeCell ref="CV18:CZ18"/>
    <mergeCell ref="DA18:DE18"/>
    <mergeCell ref="DF18:DJ18"/>
    <mergeCell ref="DL18:DR18"/>
    <mergeCell ref="DS18:DW18"/>
    <mergeCell ref="BM18:BQ18"/>
    <mergeCell ref="BR18:BV18"/>
    <mergeCell ref="BW18:CA18"/>
    <mergeCell ref="CB18:CF18"/>
    <mergeCell ref="CG18:CK18"/>
    <mergeCell ref="CL18:CP18"/>
    <mergeCell ref="AI18:AM18"/>
    <mergeCell ref="AN18:AR18"/>
    <mergeCell ref="G20:K20"/>
    <mergeCell ref="L20:N20"/>
    <mergeCell ref="O20:S20"/>
    <mergeCell ref="T20:X20"/>
    <mergeCell ref="Y20:AC20"/>
    <mergeCell ref="AD20:AH20"/>
    <mergeCell ref="CB19:CF19"/>
    <mergeCell ref="CG19:CK19"/>
    <mergeCell ref="CL19:CP19"/>
    <mergeCell ref="AX19:BB19"/>
    <mergeCell ref="BC19:BG19"/>
    <mergeCell ref="BH19:BL19"/>
    <mergeCell ref="BM19:BQ19"/>
    <mergeCell ref="BR19:BV19"/>
    <mergeCell ref="BW19:CA19"/>
    <mergeCell ref="AI20:AM20"/>
    <mergeCell ref="AN20:AR20"/>
    <mergeCell ref="AS20:AW20"/>
    <mergeCell ref="AX20:BB20"/>
    <mergeCell ref="BC20:BG20"/>
    <mergeCell ref="BM20:BQ20"/>
    <mergeCell ref="BR20:BV20"/>
    <mergeCell ref="BW20:CA20"/>
    <mergeCell ref="CB20:CF20"/>
    <mergeCell ref="DF19:DJ19"/>
    <mergeCell ref="DL19:DR19"/>
    <mergeCell ref="DS19:DW19"/>
    <mergeCell ref="CQ20:CU20"/>
    <mergeCell ref="CV20:CZ20"/>
    <mergeCell ref="DA20:DE20"/>
    <mergeCell ref="DF20:DJ20"/>
    <mergeCell ref="DL20:DW20"/>
    <mergeCell ref="DX19:EB19"/>
    <mergeCell ref="CQ19:CU19"/>
    <mergeCell ref="CV19:CZ19"/>
    <mergeCell ref="DA19:DE19"/>
    <mergeCell ref="DX20:EB20"/>
    <mergeCell ref="CQ21:CU21"/>
    <mergeCell ref="CV21:CZ21"/>
    <mergeCell ref="DA21:DE21"/>
    <mergeCell ref="DF21:DJ21"/>
    <mergeCell ref="CG20:CK20"/>
    <mergeCell ref="CL20:CP20"/>
    <mergeCell ref="AI21:AM21"/>
    <mergeCell ref="AN21:AR21"/>
    <mergeCell ref="AS21:AW21"/>
    <mergeCell ref="AX21:BB21"/>
    <mergeCell ref="BC21:BG21"/>
    <mergeCell ref="BH21:BL21"/>
    <mergeCell ref="BM21:BQ21"/>
    <mergeCell ref="BR21:BV21"/>
    <mergeCell ref="BW21:CA21"/>
    <mergeCell ref="CB21:CF21"/>
    <mergeCell ref="CG21:CK21"/>
    <mergeCell ref="CL21:CP21"/>
    <mergeCell ref="BH20:BL20"/>
    <mergeCell ref="G21:K21"/>
    <mergeCell ref="L21:N21"/>
    <mergeCell ref="O21:S21"/>
    <mergeCell ref="T21:X21"/>
    <mergeCell ref="Y21:AC21"/>
    <mergeCell ref="AD21:AH21"/>
    <mergeCell ref="BR22:BV22"/>
    <mergeCell ref="BW22:CA22"/>
    <mergeCell ref="G22:K22"/>
    <mergeCell ref="L22:N22"/>
    <mergeCell ref="O22:S22"/>
    <mergeCell ref="T22:X22"/>
    <mergeCell ref="Y22:AC22"/>
    <mergeCell ref="AD22:AH22"/>
    <mergeCell ref="AI22:AM22"/>
    <mergeCell ref="AN22:AR22"/>
    <mergeCell ref="AS22:AW22"/>
    <mergeCell ref="CL22:CP22"/>
    <mergeCell ref="AX22:BB22"/>
    <mergeCell ref="BC22:BG22"/>
    <mergeCell ref="BH22:BL22"/>
    <mergeCell ref="BM22:BQ22"/>
    <mergeCell ref="AN23:AR23"/>
    <mergeCell ref="AS23:AW23"/>
    <mergeCell ref="AX23:BB23"/>
    <mergeCell ref="BC23:BG23"/>
    <mergeCell ref="BH23:BL23"/>
    <mergeCell ref="BM23:BQ23"/>
    <mergeCell ref="BR23:BV23"/>
    <mergeCell ref="BW23:CA23"/>
    <mergeCell ref="CB23:CF23"/>
    <mergeCell ref="CG23:CK23"/>
    <mergeCell ref="CL23:CP23"/>
    <mergeCell ref="C26:F26"/>
    <mergeCell ref="O24:S24"/>
    <mergeCell ref="T24:X24"/>
    <mergeCell ref="Y24:AC24"/>
    <mergeCell ref="AD24:AH24"/>
    <mergeCell ref="AI24:AM24"/>
    <mergeCell ref="AN24:AR24"/>
    <mergeCell ref="DF22:DJ22"/>
    <mergeCell ref="CQ22:CU22"/>
    <mergeCell ref="CV22:CZ22"/>
    <mergeCell ref="DA22:DE22"/>
    <mergeCell ref="CQ23:CU23"/>
    <mergeCell ref="CV23:CZ23"/>
    <mergeCell ref="DA23:DE23"/>
    <mergeCell ref="DF23:DJ23"/>
    <mergeCell ref="AI23:AM23"/>
    <mergeCell ref="G23:K23"/>
    <mergeCell ref="L23:N23"/>
    <mergeCell ref="O23:S23"/>
    <mergeCell ref="T23:X23"/>
    <mergeCell ref="Y23:AC23"/>
    <mergeCell ref="AD23:AH23"/>
    <mergeCell ref="CB22:CF22"/>
    <mergeCell ref="CG22:CK22"/>
    <mergeCell ref="DA24:DE24"/>
    <mergeCell ref="DF24:DJ24"/>
    <mergeCell ref="C25:F25"/>
    <mergeCell ref="G25:K25"/>
    <mergeCell ref="L25:N25"/>
    <mergeCell ref="O25:X25"/>
    <mergeCell ref="Y25:AH25"/>
    <mergeCell ref="BW24:CA24"/>
    <mergeCell ref="CB24:CF24"/>
    <mergeCell ref="CG24:CK24"/>
    <mergeCell ref="CL24:CP24"/>
    <mergeCell ref="CQ24:CU24"/>
    <mergeCell ref="CV24:CZ24"/>
    <mergeCell ref="AS24:AW24"/>
    <mergeCell ref="AX24:BB24"/>
    <mergeCell ref="BC24:BG24"/>
    <mergeCell ref="BH24:BL24"/>
    <mergeCell ref="BM24:BQ24"/>
    <mergeCell ref="BR24:BV24"/>
    <mergeCell ref="C24:F24"/>
    <mergeCell ref="G24:K24"/>
    <mergeCell ref="L24:N24"/>
    <mergeCell ref="BW25:CF25"/>
    <mergeCell ref="CG25:CP25"/>
    <mergeCell ref="G26:K26"/>
    <mergeCell ref="L26:N26"/>
    <mergeCell ref="O26:X26"/>
    <mergeCell ref="Y26:AH26"/>
    <mergeCell ref="AI25:AR25"/>
    <mergeCell ref="AS25:BB25"/>
    <mergeCell ref="BC25:BL25"/>
    <mergeCell ref="BM25:BV25"/>
    <mergeCell ref="AI26:AR26"/>
    <mergeCell ref="AS26:BB26"/>
    <mergeCell ref="BC26:BL26"/>
    <mergeCell ref="BM26:BV26"/>
    <mergeCell ref="CQ26:CZ26"/>
    <mergeCell ref="DA26:DJ26"/>
    <mergeCell ref="BW26:CF26"/>
    <mergeCell ref="BW30:CF30"/>
    <mergeCell ref="CG30:CP30"/>
    <mergeCell ref="CQ30:CZ30"/>
    <mergeCell ref="CQ27:CZ27"/>
    <mergeCell ref="DA27:DJ27"/>
    <mergeCell ref="DA25:DJ25"/>
    <mergeCell ref="CQ25:CZ25"/>
    <mergeCell ref="BW29:CF29"/>
    <mergeCell ref="CG29:CP29"/>
    <mergeCell ref="CQ29:CZ29"/>
    <mergeCell ref="DA29:DJ29"/>
    <mergeCell ref="CG26:CP26"/>
    <mergeCell ref="C28:F28"/>
    <mergeCell ref="AI27:AR27"/>
    <mergeCell ref="AS27:BB27"/>
    <mergeCell ref="BC27:BL27"/>
    <mergeCell ref="BM27:BV27"/>
    <mergeCell ref="BW27:CF27"/>
    <mergeCell ref="CG27:CP27"/>
    <mergeCell ref="C27:F27"/>
    <mergeCell ref="G27:K27"/>
    <mergeCell ref="L27:N27"/>
    <mergeCell ref="O27:X27"/>
    <mergeCell ref="Y27:AH27"/>
    <mergeCell ref="C29:F29"/>
    <mergeCell ref="G29:N29"/>
    <mergeCell ref="O29:X29"/>
    <mergeCell ref="Y29:AH29"/>
    <mergeCell ref="AI29:AR29"/>
    <mergeCell ref="AS29:BB29"/>
    <mergeCell ref="BM30:BV30"/>
    <mergeCell ref="C30:F30"/>
    <mergeCell ref="G30:N30"/>
    <mergeCell ref="O30:X30"/>
    <mergeCell ref="Y30:AH30"/>
    <mergeCell ref="AI30:AR30"/>
    <mergeCell ref="AS30:BB30"/>
    <mergeCell ref="BC30:BL30"/>
    <mergeCell ref="BC29:BL29"/>
    <mergeCell ref="BM29:BV29"/>
    <mergeCell ref="DX32:EB32"/>
    <mergeCell ref="C32:F32"/>
    <mergeCell ref="G32:K32"/>
    <mergeCell ref="L32:N32"/>
    <mergeCell ref="O32:S32"/>
    <mergeCell ref="T32:X32"/>
    <mergeCell ref="Y32:AC32"/>
    <mergeCell ref="DF32:DJ32"/>
    <mergeCell ref="DA30:DJ30"/>
    <mergeCell ref="DL30:DR30"/>
    <mergeCell ref="CV31:CZ31"/>
    <mergeCell ref="DA31:DE31"/>
    <mergeCell ref="DL31:DR31"/>
    <mergeCell ref="DS31:DW31"/>
    <mergeCell ref="DS30:DW30"/>
    <mergeCell ref="DX31:EB31"/>
    <mergeCell ref="BR31:BV31"/>
    <mergeCell ref="BW31:CA31"/>
    <mergeCell ref="CB31:CF31"/>
    <mergeCell ref="CG31:CK31"/>
    <mergeCell ref="CL31:CP31"/>
    <mergeCell ref="CQ31:CU31"/>
    <mergeCell ref="DF31:DJ31"/>
    <mergeCell ref="AI31:AM31"/>
    <mergeCell ref="AN31:AR31"/>
    <mergeCell ref="AS31:AW31"/>
    <mergeCell ref="AX31:BB31"/>
    <mergeCell ref="BC31:BG31"/>
    <mergeCell ref="BH31:BL31"/>
    <mergeCell ref="BM31:BQ31"/>
    <mergeCell ref="CQ32:CU32"/>
    <mergeCell ref="CV32:CZ32"/>
    <mergeCell ref="DA32:DE32"/>
    <mergeCell ref="AX32:BB32"/>
    <mergeCell ref="BC32:BG32"/>
    <mergeCell ref="C31:F31"/>
    <mergeCell ref="G31:K31"/>
    <mergeCell ref="L31:N31"/>
    <mergeCell ref="O31:S31"/>
    <mergeCell ref="T31:X31"/>
    <mergeCell ref="Y31:AC31"/>
    <mergeCell ref="AD31:AH31"/>
    <mergeCell ref="AD33:AH33"/>
    <mergeCell ref="AI33:AM33"/>
    <mergeCell ref="AN33:AR33"/>
    <mergeCell ref="CL32:CP32"/>
    <mergeCell ref="BH32:BL32"/>
    <mergeCell ref="BM32:BQ32"/>
    <mergeCell ref="BR32:BV32"/>
    <mergeCell ref="BW32:CA32"/>
    <mergeCell ref="CB32:CF32"/>
    <mergeCell ref="CG32:CK32"/>
    <mergeCell ref="AD32:AH32"/>
    <mergeCell ref="AI32:AM32"/>
    <mergeCell ref="AN32:AR32"/>
    <mergeCell ref="AS32:AW32"/>
    <mergeCell ref="G34:K34"/>
    <mergeCell ref="L34:N34"/>
    <mergeCell ref="O34:S34"/>
    <mergeCell ref="T34:X34"/>
    <mergeCell ref="Y34:AC34"/>
    <mergeCell ref="BW33:CA33"/>
    <mergeCell ref="CB33:CF33"/>
    <mergeCell ref="CG33:CK33"/>
    <mergeCell ref="CL33:CP33"/>
    <mergeCell ref="AS33:AW33"/>
    <mergeCell ref="AX33:BB33"/>
    <mergeCell ref="BC33:BG33"/>
    <mergeCell ref="BH33:BL33"/>
    <mergeCell ref="BM33:BQ33"/>
    <mergeCell ref="BR33:BV33"/>
    <mergeCell ref="AN34:AR34"/>
    <mergeCell ref="AS34:AW34"/>
    <mergeCell ref="AX34:BB34"/>
    <mergeCell ref="BC34:BG34"/>
    <mergeCell ref="G33:K33"/>
    <mergeCell ref="L33:N33"/>
    <mergeCell ref="O33:S33"/>
    <mergeCell ref="T33:X33"/>
    <mergeCell ref="Y33:AC33"/>
    <mergeCell ref="DA33:DE33"/>
    <mergeCell ref="DF33:DJ33"/>
    <mergeCell ref="DL33:DR33"/>
    <mergeCell ref="DS33:DW33"/>
    <mergeCell ref="DX33:EB33"/>
    <mergeCell ref="CQ33:CU33"/>
    <mergeCell ref="CV33:CZ33"/>
    <mergeCell ref="DS34:DW34"/>
    <mergeCell ref="DX34:EB34"/>
    <mergeCell ref="CQ34:CU34"/>
    <mergeCell ref="CV34:CZ34"/>
    <mergeCell ref="DA34:DE34"/>
    <mergeCell ref="DF34:DJ34"/>
    <mergeCell ref="DL34:DR34"/>
    <mergeCell ref="AD35:AH35"/>
    <mergeCell ref="AI35:AM35"/>
    <mergeCell ref="AN35:AR35"/>
    <mergeCell ref="CL34:CP34"/>
    <mergeCell ref="BH34:BL34"/>
    <mergeCell ref="BM34:BQ34"/>
    <mergeCell ref="BR34:BV34"/>
    <mergeCell ref="BW34:CA34"/>
    <mergeCell ref="CB34:CF34"/>
    <mergeCell ref="CG34:CK34"/>
    <mergeCell ref="AD34:AH34"/>
    <mergeCell ref="AI34:AM34"/>
    <mergeCell ref="G36:K36"/>
    <mergeCell ref="L36:N36"/>
    <mergeCell ref="O36:S36"/>
    <mergeCell ref="T36:X36"/>
    <mergeCell ref="Y36:AC36"/>
    <mergeCell ref="BW35:CA35"/>
    <mergeCell ref="CB35:CF35"/>
    <mergeCell ref="CG35:CK35"/>
    <mergeCell ref="CL35:CP35"/>
    <mergeCell ref="AS35:AW35"/>
    <mergeCell ref="AX35:BB35"/>
    <mergeCell ref="BC35:BG35"/>
    <mergeCell ref="BH35:BL35"/>
    <mergeCell ref="BM35:BQ35"/>
    <mergeCell ref="BR35:BV35"/>
    <mergeCell ref="AN36:AR36"/>
    <mergeCell ref="AS36:AW36"/>
    <mergeCell ref="AX36:BB36"/>
    <mergeCell ref="BC36:BG36"/>
    <mergeCell ref="G35:K35"/>
    <mergeCell ref="L35:N35"/>
    <mergeCell ref="O35:S35"/>
    <mergeCell ref="T35:X35"/>
    <mergeCell ref="Y35:AC35"/>
    <mergeCell ref="DA35:DE35"/>
    <mergeCell ref="DF35:DJ35"/>
    <mergeCell ref="DL35:DR35"/>
    <mergeCell ref="DS35:DW35"/>
    <mergeCell ref="DX35:EB35"/>
    <mergeCell ref="CQ35:CU35"/>
    <mergeCell ref="CV35:CZ35"/>
    <mergeCell ref="DS36:DW36"/>
    <mergeCell ref="DX36:EB36"/>
    <mergeCell ref="CQ36:CU36"/>
    <mergeCell ref="CV36:CZ36"/>
    <mergeCell ref="DA36:DE36"/>
    <mergeCell ref="DF36:DJ36"/>
    <mergeCell ref="DL36:DR36"/>
    <mergeCell ref="AD37:AH37"/>
    <mergeCell ref="AI37:AM37"/>
    <mergeCell ref="AN37:AR37"/>
    <mergeCell ref="CL36:CP36"/>
    <mergeCell ref="BH36:BL36"/>
    <mergeCell ref="BM36:BQ36"/>
    <mergeCell ref="BR36:BV36"/>
    <mergeCell ref="BW36:CA36"/>
    <mergeCell ref="CB36:CF36"/>
    <mergeCell ref="CG36:CK36"/>
    <mergeCell ref="AD36:AH36"/>
    <mergeCell ref="AI36:AM36"/>
    <mergeCell ref="G38:K38"/>
    <mergeCell ref="L38:N38"/>
    <mergeCell ref="O38:S38"/>
    <mergeCell ref="T38:X38"/>
    <mergeCell ref="Y38:AC38"/>
    <mergeCell ref="BW37:CA37"/>
    <mergeCell ref="CB37:CF37"/>
    <mergeCell ref="CG37:CK37"/>
    <mergeCell ref="CL37:CP37"/>
    <mergeCell ref="AS37:AW37"/>
    <mergeCell ref="AX37:BB37"/>
    <mergeCell ref="BC37:BG37"/>
    <mergeCell ref="BH37:BL37"/>
    <mergeCell ref="BM37:BQ37"/>
    <mergeCell ref="BR37:BV37"/>
    <mergeCell ref="AN38:AR38"/>
    <mergeCell ref="AS38:AW38"/>
    <mergeCell ref="AX38:BB38"/>
    <mergeCell ref="BC38:BG38"/>
    <mergeCell ref="G37:K37"/>
    <mergeCell ref="L37:N37"/>
    <mergeCell ref="O37:S37"/>
    <mergeCell ref="T37:X37"/>
    <mergeCell ref="Y37:AC37"/>
    <mergeCell ref="DA37:DE37"/>
    <mergeCell ref="DF37:DJ37"/>
    <mergeCell ref="DL37:DR37"/>
    <mergeCell ref="DS37:DW37"/>
    <mergeCell ref="DX37:EB37"/>
    <mergeCell ref="CQ37:CU37"/>
    <mergeCell ref="CV37:CZ37"/>
    <mergeCell ref="DS38:DW38"/>
    <mergeCell ref="DX38:EB38"/>
    <mergeCell ref="CQ38:CU38"/>
    <mergeCell ref="CV38:CZ38"/>
    <mergeCell ref="DA38:DE38"/>
    <mergeCell ref="DF38:DJ38"/>
    <mergeCell ref="DL38:DR38"/>
    <mergeCell ref="AD39:AH39"/>
    <mergeCell ref="AI39:AM39"/>
    <mergeCell ref="AN39:AR39"/>
    <mergeCell ref="CL38:CP38"/>
    <mergeCell ref="BH38:BL38"/>
    <mergeCell ref="BM38:BQ38"/>
    <mergeCell ref="BR38:BV38"/>
    <mergeCell ref="BW38:CA38"/>
    <mergeCell ref="CB38:CF38"/>
    <mergeCell ref="CG38:CK38"/>
    <mergeCell ref="AD38:AH38"/>
    <mergeCell ref="AI38:AM38"/>
    <mergeCell ref="G40:K40"/>
    <mergeCell ref="L40:N40"/>
    <mergeCell ref="O40:S40"/>
    <mergeCell ref="T40:X40"/>
    <mergeCell ref="Y40:AC40"/>
    <mergeCell ref="BW39:CA39"/>
    <mergeCell ref="CB39:CF39"/>
    <mergeCell ref="CG39:CK39"/>
    <mergeCell ref="CL39:CP39"/>
    <mergeCell ref="AS39:AW39"/>
    <mergeCell ref="AX39:BB39"/>
    <mergeCell ref="BC39:BG39"/>
    <mergeCell ref="BH39:BL39"/>
    <mergeCell ref="BM39:BQ39"/>
    <mergeCell ref="BR39:BV39"/>
    <mergeCell ref="AN40:AR40"/>
    <mergeCell ref="AS40:AW40"/>
    <mergeCell ref="AX40:BB40"/>
    <mergeCell ref="BC40:BG40"/>
    <mergeCell ref="G39:K39"/>
    <mergeCell ref="L39:N39"/>
    <mergeCell ref="O39:S39"/>
    <mergeCell ref="T39:X39"/>
    <mergeCell ref="Y39:AC39"/>
    <mergeCell ref="DA39:DE39"/>
    <mergeCell ref="DF39:DJ39"/>
    <mergeCell ref="DL39:DR39"/>
    <mergeCell ref="DS39:DW39"/>
    <mergeCell ref="DX39:EB39"/>
    <mergeCell ref="CQ39:CU39"/>
    <mergeCell ref="CV39:CZ39"/>
    <mergeCell ref="DS40:DW40"/>
    <mergeCell ref="DX40:EB40"/>
    <mergeCell ref="CQ40:CU40"/>
    <mergeCell ref="CV40:CZ40"/>
    <mergeCell ref="DA40:DE40"/>
    <mergeCell ref="DF40:DJ40"/>
    <mergeCell ref="DL40:DR40"/>
    <mergeCell ref="Y42:AC42"/>
    <mergeCell ref="CL40:CP40"/>
    <mergeCell ref="BH40:BL40"/>
    <mergeCell ref="BM40:BQ40"/>
    <mergeCell ref="BR40:BV40"/>
    <mergeCell ref="BW40:CA40"/>
    <mergeCell ref="CB40:CF40"/>
    <mergeCell ref="CG40:CK40"/>
    <mergeCell ref="AD40:AH40"/>
    <mergeCell ref="AI40:AM40"/>
    <mergeCell ref="BW41:CA41"/>
    <mergeCell ref="AI42:AM42"/>
    <mergeCell ref="AN42:AR42"/>
    <mergeCell ref="AS42:AW42"/>
    <mergeCell ref="AX42:BB42"/>
    <mergeCell ref="BC42:BG42"/>
    <mergeCell ref="DA41:DE41"/>
    <mergeCell ref="DF41:DJ41"/>
    <mergeCell ref="G42:K42"/>
    <mergeCell ref="CL41:CP41"/>
    <mergeCell ref="CQ41:CU41"/>
    <mergeCell ref="CV41:CZ41"/>
    <mergeCell ref="AS41:AW41"/>
    <mergeCell ref="AX41:BB41"/>
    <mergeCell ref="BC41:BG41"/>
    <mergeCell ref="BH41:BL41"/>
    <mergeCell ref="BM41:BQ41"/>
    <mergeCell ref="BR41:BV41"/>
    <mergeCell ref="CB41:CF41"/>
    <mergeCell ref="CG41:CK41"/>
    <mergeCell ref="L41:N41"/>
    <mergeCell ref="O41:S41"/>
    <mergeCell ref="T41:X41"/>
    <mergeCell ref="Y41:AC41"/>
    <mergeCell ref="AD41:AH41"/>
    <mergeCell ref="AI41:AM41"/>
    <mergeCell ref="AN41:AR41"/>
    <mergeCell ref="BW42:CA42"/>
    <mergeCell ref="L42:N42"/>
    <mergeCell ref="O42:S42"/>
    <mergeCell ref="DX42:EB42"/>
    <mergeCell ref="G43:K43"/>
    <mergeCell ref="L43:N43"/>
    <mergeCell ref="O43:S43"/>
    <mergeCell ref="T43:X43"/>
    <mergeCell ref="Y43:AC43"/>
    <mergeCell ref="AD43:AH43"/>
    <mergeCell ref="AI43:AM43"/>
    <mergeCell ref="AN43:AR43"/>
    <mergeCell ref="AS43:AW43"/>
    <mergeCell ref="CQ42:CU42"/>
    <mergeCell ref="CV42:CZ42"/>
    <mergeCell ref="DA42:DE42"/>
    <mergeCell ref="DF42:DJ42"/>
    <mergeCell ref="DL42:DR42"/>
    <mergeCell ref="DS42:DW42"/>
    <mergeCell ref="BM42:BQ42"/>
    <mergeCell ref="BR42:BV42"/>
    <mergeCell ref="DL43:DR43"/>
    <mergeCell ref="CG43:CK43"/>
    <mergeCell ref="CL43:CP43"/>
    <mergeCell ref="AX43:BB43"/>
    <mergeCell ref="AD42:AH42"/>
    <mergeCell ref="T42:X42"/>
    <mergeCell ref="T45:X45"/>
    <mergeCell ref="Y45:AC45"/>
    <mergeCell ref="AD45:AH45"/>
    <mergeCell ref="AI45:AM45"/>
    <mergeCell ref="AN45:AR45"/>
    <mergeCell ref="BM44:BQ44"/>
    <mergeCell ref="G41:K41"/>
    <mergeCell ref="CG42:CK42"/>
    <mergeCell ref="CL42:CP42"/>
    <mergeCell ref="AS44:AW44"/>
    <mergeCell ref="AX44:BB44"/>
    <mergeCell ref="BC44:BG44"/>
    <mergeCell ref="BH44:BL44"/>
    <mergeCell ref="BH42:BL42"/>
    <mergeCell ref="CB42:CF42"/>
    <mergeCell ref="G44:K44"/>
    <mergeCell ref="L44:N44"/>
    <mergeCell ref="O44:S44"/>
    <mergeCell ref="T44:X44"/>
    <mergeCell ref="Y44:AC44"/>
    <mergeCell ref="AD44:AH44"/>
    <mergeCell ref="CB43:CF43"/>
    <mergeCell ref="BR43:BV43"/>
    <mergeCell ref="BW43:CA43"/>
    <mergeCell ref="BW44:CA44"/>
    <mergeCell ref="CB44:CF44"/>
    <mergeCell ref="CG44:CK44"/>
    <mergeCell ref="CL44:CP44"/>
    <mergeCell ref="AI44:AM44"/>
    <mergeCell ref="AN44:AR44"/>
    <mergeCell ref="DA45:DE45"/>
    <mergeCell ref="DF45:DJ45"/>
    <mergeCell ref="BC43:BG43"/>
    <mergeCell ref="BH43:BL43"/>
    <mergeCell ref="BM43:BQ43"/>
    <mergeCell ref="DF43:DJ43"/>
    <mergeCell ref="CQ43:CU43"/>
    <mergeCell ref="CV43:CZ43"/>
    <mergeCell ref="DA43:DE43"/>
    <mergeCell ref="CQ44:CU44"/>
    <mergeCell ref="CV44:CZ44"/>
    <mergeCell ref="DA44:DE44"/>
    <mergeCell ref="DF44:DJ44"/>
    <mergeCell ref="DX45:EB45"/>
    <mergeCell ref="C46:F46"/>
    <mergeCell ref="G46:K46"/>
    <mergeCell ref="L46:N46"/>
    <mergeCell ref="O46:X46"/>
    <mergeCell ref="Y46:AH46"/>
    <mergeCell ref="BW45:CA45"/>
    <mergeCell ref="CB45:CF45"/>
    <mergeCell ref="CG45:CK45"/>
    <mergeCell ref="CL45:CP45"/>
    <mergeCell ref="CQ45:CU45"/>
    <mergeCell ref="CV45:CZ45"/>
    <mergeCell ref="AS45:AW45"/>
    <mergeCell ref="AX45:BB45"/>
    <mergeCell ref="BC45:BG45"/>
    <mergeCell ref="BH45:BL45"/>
    <mergeCell ref="BM45:BQ45"/>
    <mergeCell ref="BR45:BV45"/>
    <mergeCell ref="CQ46:CZ46"/>
    <mergeCell ref="DA46:DJ46"/>
    <mergeCell ref="C45:F45"/>
    <mergeCell ref="G45:K45"/>
    <mergeCell ref="L45:N45"/>
    <mergeCell ref="O45:S45"/>
    <mergeCell ref="DX46:EB46"/>
    <mergeCell ref="C47:F47"/>
    <mergeCell ref="G47:K47"/>
    <mergeCell ref="L47:N47"/>
    <mergeCell ref="O47:X47"/>
    <mergeCell ref="Y47:AH47"/>
    <mergeCell ref="AI46:AR46"/>
    <mergeCell ref="AS46:BB46"/>
    <mergeCell ref="BC46:BL46"/>
    <mergeCell ref="BM46:BV46"/>
    <mergeCell ref="BW46:CF46"/>
    <mergeCell ref="CG46:CP46"/>
    <mergeCell ref="CQ47:CZ47"/>
    <mergeCell ref="DA47:DJ47"/>
    <mergeCell ref="DL47:DR47"/>
    <mergeCell ref="DS47:DW47"/>
    <mergeCell ref="DX47:EB47"/>
    <mergeCell ref="BW47:CF47"/>
    <mergeCell ref="CG47:CP47"/>
    <mergeCell ref="DS41:DW41"/>
    <mergeCell ref="CQ48:CZ48"/>
    <mergeCell ref="DA48:DJ48"/>
    <mergeCell ref="C49:F49"/>
    <mergeCell ref="AI48:AR48"/>
    <mergeCell ref="AS48:BB48"/>
    <mergeCell ref="BC48:BL48"/>
    <mergeCell ref="BM48:BV48"/>
    <mergeCell ref="BW48:CF48"/>
    <mergeCell ref="CG48:CP48"/>
    <mergeCell ref="C48:F48"/>
    <mergeCell ref="G48:K48"/>
    <mergeCell ref="L48:N48"/>
    <mergeCell ref="O48:X48"/>
    <mergeCell ref="Y48:AH48"/>
    <mergeCell ref="AI47:AR47"/>
    <mergeCell ref="AS47:BB47"/>
    <mergeCell ref="BC47:BL47"/>
    <mergeCell ref="BM47:BV47"/>
    <mergeCell ref="DL46:DR46"/>
    <mergeCell ref="DS46:DW46"/>
    <mergeCell ref="DL45:DR45"/>
    <mergeCell ref="DS45:DW45"/>
    <mergeCell ref="BR44:BV44"/>
    <mergeCell ref="DL60:DR60"/>
    <mergeCell ref="DS60:DW60"/>
    <mergeCell ref="DX60:EB60"/>
    <mergeCell ref="B61:BT65"/>
    <mergeCell ref="DN63:EA63"/>
    <mergeCell ref="DM65:DP65"/>
    <mergeCell ref="DQ65:DS65"/>
    <mergeCell ref="DT65:DV65"/>
    <mergeCell ref="DW65:EA65"/>
    <mergeCell ref="DL25:DR25"/>
    <mergeCell ref="DX26:EB26"/>
    <mergeCell ref="DS26:DW26"/>
    <mergeCell ref="DL26:DR26"/>
    <mergeCell ref="C58:F58"/>
    <mergeCell ref="DL58:DR58"/>
    <mergeCell ref="DS58:DW58"/>
    <mergeCell ref="DX58:EB58"/>
    <mergeCell ref="C59:F59"/>
    <mergeCell ref="DL59:DR59"/>
    <mergeCell ref="DS59:DW59"/>
    <mergeCell ref="DX59:EB59"/>
    <mergeCell ref="C56:F56"/>
    <mergeCell ref="DL56:DR56"/>
    <mergeCell ref="DS56:DW56"/>
    <mergeCell ref="DX56:EB56"/>
    <mergeCell ref="C52:F52"/>
    <mergeCell ref="C53:F53"/>
    <mergeCell ref="C50:F50"/>
    <mergeCell ref="C51:F51"/>
    <mergeCell ref="C57:F57"/>
    <mergeCell ref="C54:F54"/>
    <mergeCell ref="C55:F55"/>
    <mergeCell ref="DL41:DR41"/>
    <mergeCell ref="DS21:DW21"/>
    <mergeCell ref="DL21:DR21"/>
    <mergeCell ref="DX21:EB21"/>
    <mergeCell ref="DX30:EB30"/>
    <mergeCell ref="DX29:EB29"/>
    <mergeCell ref="DS29:DW29"/>
    <mergeCell ref="DL29:DR29"/>
    <mergeCell ref="DX24:EB24"/>
    <mergeCell ref="DS24:DW24"/>
    <mergeCell ref="DL24:DR24"/>
    <mergeCell ref="DX25:EB25"/>
    <mergeCell ref="DS23:DW23"/>
    <mergeCell ref="DL23:DR23"/>
    <mergeCell ref="DX23:EB23"/>
    <mergeCell ref="DX22:EB22"/>
    <mergeCell ref="DS22:DW22"/>
    <mergeCell ref="DL22:DR22"/>
    <mergeCell ref="DX28:EB28"/>
    <mergeCell ref="DS28:DW28"/>
    <mergeCell ref="DL28:DR28"/>
    <mergeCell ref="DX27:EB27"/>
    <mergeCell ref="DS27:DW27"/>
    <mergeCell ref="DL27:DR27"/>
    <mergeCell ref="DS25:DW25"/>
  </mergeCells>
  <phoneticPr fontId="1" type="noConversion"/>
  <printOptions gridLinesSet="0"/>
  <pageMargins left="0.55118110236220474" right="0.15748031496062992" top="0.39370078740157483" bottom="0.39370078740157483" header="0.11811023622047245" footer="0.11811023622047245"/>
  <pageSetup paperSize="8" scale="98" orientation="landscape" r:id="rId1"/>
  <headerFooter alignWithMargins="0">
    <oddFooter>&amp;R&amp;8&amp;F</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3CED3-16AE-400D-B854-8A443BBE5385}">
  <sheetPr>
    <pageSetUpPr fitToPage="1"/>
  </sheetPr>
  <dimension ref="A2:BJ65"/>
  <sheetViews>
    <sheetView showGridLines="0" topLeftCell="A20" zoomScaleNormal="100" zoomScaleSheetLayoutView="100" workbookViewId="0">
      <selection activeCell="AP33" sqref="AP33"/>
    </sheetView>
  </sheetViews>
  <sheetFormatPr baseColWidth="10" defaultColWidth="8.83203125" defaultRowHeight="13" x14ac:dyDescent="0.15"/>
  <cols>
    <col min="1" max="2" width="2.83203125" style="7" customWidth="1"/>
    <col min="3" max="62" width="1.6640625" style="7" customWidth="1"/>
  </cols>
  <sheetData>
    <row r="2" spans="1:62" x14ac:dyDescent="0.15">
      <c r="A2" s="7">
        <v>1</v>
      </c>
      <c r="B2" s="213" t="s">
        <v>0</v>
      </c>
      <c r="C2" s="214"/>
      <c r="D2" s="214"/>
      <c r="E2" s="214"/>
      <c r="F2" s="214"/>
      <c r="G2" s="148" t="s">
        <v>40</v>
      </c>
      <c r="H2" s="148"/>
      <c r="I2" s="148"/>
      <c r="J2" s="148"/>
      <c r="K2" s="148"/>
      <c r="L2" s="148"/>
      <c r="M2" s="148"/>
      <c r="N2" s="148"/>
      <c r="O2" s="148"/>
      <c r="P2" s="148"/>
      <c r="Q2" s="148"/>
      <c r="R2" s="148"/>
      <c r="S2" s="148"/>
      <c r="T2" s="148"/>
      <c r="U2" s="148"/>
      <c r="V2" s="3"/>
      <c r="W2" s="4"/>
      <c r="X2" s="4"/>
      <c r="Y2" s="4"/>
      <c r="Z2" s="4"/>
      <c r="AA2" s="4"/>
      <c r="AB2" s="4"/>
      <c r="AC2" s="4"/>
      <c r="AD2" s="4"/>
      <c r="AE2" s="4"/>
      <c r="AF2" s="4"/>
      <c r="AG2" s="4"/>
      <c r="AH2" s="4"/>
      <c r="AI2" s="4"/>
      <c r="AJ2" s="4"/>
      <c r="AK2" s="4"/>
      <c r="AL2" s="5"/>
      <c r="AM2" s="4"/>
      <c r="AN2" s="108" t="s">
        <v>12</v>
      </c>
      <c r="AO2" s="108"/>
      <c r="AP2" s="108"/>
      <c r="AQ2" s="108"/>
      <c r="AR2" s="108"/>
      <c r="AS2" s="108"/>
      <c r="AT2" s="108"/>
      <c r="AU2" s="108"/>
      <c r="AV2" s="108"/>
      <c r="AW2" s="108"/>
      <c r="AX2" s="108"/>
      <c r="AY2" s="108"/>
      <c r="AZ2" s="108"/>
      <c r="BA2" s="108"/>
      <c r="BB2" s="108"/>
      <c r="BC2" s="108"/>
      <c r="BD2" s="108"/>
      <c r="BE2" s="108"/>
      <c r="BF2" s="108"/>
      <c r="BG2" s="108"/>
      <c r="BH2" s="108"/>
      <c r="BI2" s="108"/>
      <c r="BJ2" s="6"/>
    </row>
    <row r="3" spans="1:62" x14ac:dyDescent="0.15">
      <c r="A3" s="7">
        <v>2</v>
      </c>
      <c r="B3" s="198" t="s">
        <v>1</v>
      </c>
      <c r="C3" s="199"/>
      <c r="D3" s="199"/>
      <c r="E3" s="199"/>
      <c r="F3" s="199"/>
      <c r="G3" s="123" t="s">
        <v>41</v>
      </c>
      <c r="H3" s="123"/>
      <c r="I3" s="123"/>
      <c r="J3" s="123"/>
      <c r="K3" s="123"/>
      <c r="L3" s="123"/>
      <c r="M3" s="123"/>
      <c r="N3" s="123"/>
      <c r="O3" s="123"/>
      <c r="P3" s="123"/>
      <c r="Q3" s="123"/>
      <c r="R3" s="123"/>
      <c r="S3" s="123"/>
      <c r="T3" s="123"/>
      <c r="U3" s="123"/>
      <c r="V3" s="10"/>
      <c r="W3" s="11"/>
      <c r="X3" s="11"/>
      <c r="Y3" s="11"/>
      <c r="Z3" s="11"/>
      <c r="AA3" s="11"/>
      <c r="AB3" s="11"/>
      <c r="AC3" s="11"/>
      <c r="AD3" s="11"/>
      <c r="AE3" s="11"/>
      <c r="AF3" s="11"/>
      <c r="AG3" s="11"/>
      <c r="AH3" s="11"/>
      <c r="AI3" s="11"/>
      <c r="AJ3" s="11"/>
      <c r="AK3" s="11"/>
      <c r="AL3" s="12"/>
      <c r="AM3" s="11"/>
      <c r="AN3" s="215"/>
      <c r="AO3" s="215"/>
      <c r="AP3" s="215"/>
      <c r="AQ3" s="215"/>
      <c r="AR3" s="215"/>
      <c r="AS3" s="215"/>
      <c r="AT3" s="215"/>
      <c r="AU3" s="215"/>
      <c r="AV3" s="215"/>
      <c r="AW3" s="215"/>
      <c r="AX3" s="215"/>
      <c r="AY3" s="215"/>
      <c r="AZ3" s="215"/>
      <c r="BA3" s="215"/>
      <c r="BB3" s="215"/>
      <c r="BC3" s="215"/>
      <c r="BD3" s="215"/>
      <c r="BE3" s="215"/>
      <c r="BF3" s="215"/>
      <c r="BG3" s="215"/>
      <c r="BH3" s="215"/>
      <c r="BI3" s="215"/>
      <c r="BJ3" s="13"/>
    </row>
    <row r="4" spans="1:62" x14ac:dyDescent="0.15">
      <c r="A4" s="7">
        <v>3</v>
      </c>
      <c r="B4" s="198" t="s">
        <v>13</v>
      </c>
      <c r="C4" s="199"/>
      <c r="D4" s="199"/>
      <c r="E4" s="199"/>
      <c r="F4" s="199"/>
      <c r="G4" s="123" t="s">
        <v>42</v>
      </c>
      <c r="H4" s="123"/>
      <c r="I4" s="123"/>
      <c r="J4" s="123"/>
      <c r="K4" s="123"/>
      <c r="L4" s="123"/>
      <c r="M4" s="123"/>
      <c r="N4" s="123"/>
      <c r="O4" s="123"/>
      <c r="P4" s="123"/>
      <c r="Q4" s="123"/>
      <c r="R4" s="123"/>
      <c r="S4" s="123"/>
      <c r="T4" s="123"/>
      <c r="U4" s="123"/>
      <c r="V4" s="10"/>
      <c r="W4" s="11"/>
      <c r="X4" s="11"/>
      <c r="Y4" s="11"/>
      <c r="Z4" s="11"/>
      <c r="AA4" s="11"/>
      <c r="AB4" s="11"/>
      <c r="AC4" s="11"/>
      <c r="AD4" s="11"/>
      <c r="AE4" s="11"/>
      <c r="AF4" s="11"/>
      <c r="AG4" s="11"/>
      <c r="AH4" s="11"/>
      <c r="AI4" s="11"/>
      <c r="AJ4" s="11"/>
      <c r="AK4" s="11"/>
      <c r="AL4" s="12"/>
      <c r="AM4" s="9"/>
      <c r="AN4" s="216"/>
      <c r="AO4" s="216"/>
      <c r="AP4" s="216"/>
      <c r="AQ4" s="216"/>
      <c r="AR4" s="216"/>
      <c r="AS4" s="216"/>
      <c r="AT4" s="216"/>
      <c r="AU4" s="216"/>
      <c r="AV4" s="216"/>
      <c r="AW4" s="216"/>
      <c r="AX4" s="216"/>
      <c r="AY4" s="216"/>
      <c r="AZ4" s="216"/>
      <c r="BA4" s="216"/>
      <c r="BB4" s="216"/>
      <c r="BC4" s="216"/>
      <c r="BD4" s="216"/>
      <c r="BE4" s="216"/>
      <c r="BF4" s="216"/>
      <c r="BG4" s="216"/>
      <c r="BH4" s="216"/>
      <c r="BI4" s="216"/>
      <c r="BJ4" s="14"/>
    </row>
    <row r="5" spans="1:62" x14ac:dyDescent="0.15">
      <c r="A5" s="7">
        <v>4</v>
      </c>
      <c r="B5" s="198" t="s">
        <v>2</v>
      </c>
      <c r="C5" s="199"/>
      <c r="D5" s="199"/>
      <c r="E5" s="199"/>
      <c r="F5" s="199"/>
      <c r="G5" s="123" t="s">
        <v>43</v>
      </c>
      <c r="H5" s="123"/>
      <c r="I5" s="123"/>
      <c r="J5" s="123"/>
      <c r="K5" s="123"/>
      <c r="L5" s="123"/>
      <c r="M5" s="123"/>
      <c r="N5" s="123"/>
      <c r="O5" s="123"/>
      <c r="P5" s="123"/>
      <c r="Q5" s="123"/>
      <c r="R5" s="123"/>
      <c r="S5" s="123"/>
      <c r="T5" s="123"/>
      <c r="U5" s="123"/>
      <c r="V5" s="10"/>
      <c r="W5" s="11"/>
      <c r="X5" s="11"/>
      <c r="Y5" s="11"/>
      <c r="Z5" s="11"/>
      <c r="AA5" s="11"/>
      <c r="AB5" s="11"/>
      <c r="AC5" s="11"/>
      <c r="AD5" s="11"/>
      <c r="AE5" s="11"/>
      <c r="AF5" s="11"/>
      <c r="AG5" s="11"/>
      <c r="AH5" s="11"/>
      <c r="AI5" s="11"/>
      <c r="AJ5" s="11"/>
      <c r="AK5" s="11"/>
      <c r="AL5" s="12"/>
      <c r="AM5" s="9"/>
      <c r="AN5" s="2" t="s">
        <v>14</v>
      </c>
      <c r="AO5" s="2"/>
      <c r="AP5" s="2"/>
      <c r="AQ5" s="2"/>
      <c r="AR5" s="2"/>
      <c r="AS5" s="2"/>
      <c r="AT5" s="2"/>
      <c r="AU5" s="2"/>
      <c r="AV5" s="54"/>
      <c r="AW5" s="54"/>
      <c r="AX5" s="106">
        <v>0</v>
      </c>
      <c r="AY5" s="106"/>
      <c r="AZ5" s="106"/>
      <c r="BA5" s="106"/>
      <c r="BB5" s="106"/>
      <c r="BC5" s="106"/>
      <c r="BD5" s="106"/>
      <c r="BE5" s="106"/>
      <c r="BF5" s="106"/>
      <c r="BG5" s="106"/>
      <c r="BH5" s="106"/>
      <c r="BI5" s="106"/>
      <c r="BJ5" s="197"/>
    </row>
    <row r="6" spans="1:62" x14ac:dyDescent="0.15">
      <c r="A6" s="7">
        <v>5</v>
      </c>
      <c r="B6" s="198" t="s">
        <v>3</v>
      </c>
      <c r="C6" s="199"/>
      <c r="D6" s="199"/>
      <c r="E6" s="199"/>
      <c r="F6" s="199"/>
      <c r="G6" s="123" t="e">
        <f>#REF!</f>
        <v>#REF!</v>
      </c>
      <c r="H6" s="123"/>
      <c r="I6" s="123"/>
      <c r="J6" s="123"/>
      <c r="K6" s="123"/>
      <c r="L6" s="123"/>
      <c r="M6" s="123"/>
      <c r="N6" s="123"/>
      <c r="O6" s="123"/>
      <c r="P6" s="123"/>
      <c r="Q6" s="123"/>
      <c r="R6" s="123"/>
      <c r="S6" s="123"/>
      <c r="T6" s="123"/>
      <c r="U6" s="123"/>
      <c r="V6" s="10"/>
      <c r="W6" s="11"/>
      <c r="X6" s="11"/>
      <c r="Y6" s="11"/>
      <c r="Z6" s="11"/>
      <c r="AA6" s="11"/>
      <c r="AB6" s="11"/>
      <c r="AC6" s="11"/>
      <c r="AD6" s="11"/>
      <c r="AE6" s="11"/>
      <c r="AF6" s="11"/>
      <c r="AG6" s="11"/>
      <c r="AH6" s="11"/>
      <c r="AI6" s="11"/>
      <c r="AJ6" s="11"/>
      <c r="AK6" s="11"/>
      <c r="AL6" s="12"/>
      <c r="AM6" s="9"/>
      <c r="AN6" s="2" t="s">
        <v>15</v>
      </c>
      <c r="AO6" s="2"/>
      <c r="AP6" s="2"/>
      <c r="AQ6" s="2"/>
      <c r="AR6" s="2"/>
      <c r="AS6" s="2"/>
      <c r="AT6" s="2"/>
      <c r="AU6" s="2"/>
      <c r="AV6" s="2"/>
      <c r="AW6" s="2"/>
      <c r="AX6" s="106">
        <v>0</v>
      </c>
      <c r="AY6" s="106"/>
      <c r="AZ6" s="106"/>
      <c r="BA6" s="106"/>
      <c r="BB6" s="106"/>
      <c r="BC6" s="106"/>
      <c r="BD6" s="106"/>
      <c r="BE6" s="106"/>
      <c r="BF6" s="106"/>
      <c r="BG6" s="106"/>
      <c r="BH6" s="106"/>
      <c r="BI6" s="106"/>
      <c r="BJ6" s="197"/>
    </row>
    <row r="7" spans="1:62" x14ac:dyDescent="0.15">
      <c r="A7" s="7">
        <v>6</v>
      </c>
      <c r="B7" s="16" t="s">
        <v>16</v>
      </c>
      <c r="C7" s="17"/>
      <c r="D7" s="17"/>
      <c r="E7" s="17"/>
      <c r="F7" s="17"/>
      <c r="G7" s="17"/>
      <c r="H7" s="17"/>
      <c r="I7" s="17"/>
      <c r="J7" s="17"/>
      <c r="K7" s="17"/>
      <c r="L7" s="17"/>
      <c r="M7" s="17"/>
      <c r="N7" s="17"/>
      <c r="O7" s="17"/>
      <c r="P7" s="17"/>
      <c r="Q7" s="17"/>
      <c r="R7" s="17"/>
      <c r="S7" s="17"/>
      <c r="T7" s="17"/>
      <c r="U7" s="17"/>
      <c r="V7" s="18"/>
      <c r="W7" s="17"/>
      <c r="X7" s="17"/>
      <c r="Y7" s="19"/>
      <c r="Z7" s="19"/>
      <c r="AA7" s="19"/>
      <c r="AB7" s="17"/>
      <c r="AC7" s="17"/>
      <c r="AD7" s="17"/>
      <c r="AE7" s="17"/>
      <c r="AF7" s="17"/>
      <c r="AG7" s="17"/>
      <c r="AH7" s="17"/>
      <c r="AI7" s="17"/>
      <c r="AJ7" s="17"/>
      <c r="AK7" s="17"/>
      <c r="AL7" s="18"/>
      <c r="AM7" s="1"/>
      <c r="AN7" s="1" t="s">
        <v>18</v>
      </c>
      <c r="AO7" s="1"/>
      <c r="AP7" s="1"/>
      <c r="AQ7" s="1"/>
      <c r="AR7" s="1"/>
      <c r="AS7" s="1"/>
      <c r="AT7" s="55"/>
      <c r="AU7" s="55"/>
      <c r="AV7" s="55"/>
      <c r="AW7" s="55"/>
      <c r="AX7" s="107">
        <v>10</v>
      </c>
      <c r="AY7" s="107"/>
      <c r="AZ7" s="107"/>
      <c r="BA7" s="107"/>
      <c r="BB7" s="107"/>
      <c r="BC7" s="107"/>
      <c r="BD7" s="107"/>
      <c r="BE7" s="107"/>
      <c r="BF7" s="107"/>
      <c r="BG7" s="107"/>
      <c r="BH7" s="107"/>
      <c r="BI7" s="107"/>
      <c r="BJ7" s="200"/>
    </row>
    <row r="8" spans="1:62" ht="14" x14ac:dyDescent="0.15">
      <c r="A8" s="7">
        <v>7</v>
      </c>
      <c r="B8" s="21"/>
      <c r="C8" s="228"/>
      <c r="D8" s="229"/>
      <c r="E8" s="229"/>
      <c r="F8" s="230"/>
      <c r="G8" s="81" t="s">
        <v>108</v>
      </c>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40"/>
      <c r="BA8" s="231" t="s">
        <v>155</v>
      </c>
      <c r="BB8" s="231"/>
      <c r="BC8" s="231"/>
      <c r="BD8" s="231"/>
      <c r="BE8" s="231"/>
      <c r="BF8" s="231" t="s">
        <v>58</v>
      </c>
      <c r="BG8" s="231"/>
      <c r="BH8" s="231"/>
      <c r="BI8" s="231"/>
      <c r="BJ8" s="231"/>
    </row>
    <row r="9" spans="1:62" x14ac:dyDescent="0.15">
      <c r="A9" s="7">
        <v>8</v>
      </c>
      <c r="B9" s="23"/>
      <c r="C9" s="145"/>
      <c r="D9" s="146"/>
      <c r="E9" s="146"/>
      <c r="F9" s="157"/>
      <c r="G9" s="23"/>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2"/>
      <c r="BA9" s="231"/>
      <c r="BB9" s="231"/>
      <c r="BC9" s="231"/>
      <c r="BD9" s="231"/>
      <c r="BE9" s="231"/>
      <c r="BF9" s="231"/>
      <c r="BG9" s="231"/>
      <c r="BH9" s="231"/>
      <c r="BI9" s="231"/>
      <c r="BJ9" s="231"/>
    </row>
    <row r="10" spans="1:62" x14ac:dyDescent="0.15">
      <c r="A10" s="7">
        <v>9</v>
      </c>
      <c r="B10" s="23"/>
      <c r="C10" s="145"/>
      <c r="D10" s="146"/>
      <c r="E10" s="146"/>
      <c r="F10" s="157"/>
      <c r="G10" s="80" t="s">
        <v>115</v>
      </c>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2"/>
      <c r="BA10" s="231"/>
      <c r="BB10" s="231"/>
      <c r="BC10" s="231"/>
      <c r="BD10" s="231"/>
      <c r="BE10" s="231"/>
      <c r="BF10" s="231"/>
      <c r="BG10" s="231"/>
      <c r="BH10" s="231"/>
      <c r="BI10" s="231"/>
      <c r="BJ10" s="231"/>
    </row>
    <row r="11" spans="1:62" x14ac:dyDescent="0.15">
      <c r="A11" s="7">
        <v>10</v>
      </c>
      <c r="B11" s="23"/>
      <c r="C11" s="145"/>
      <c r="D11" s="146"/>
      <c r="E11" s="146"/>
      <c r="F11" s="157"/>
      <c r="G11" s="23"/>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2"/>
      <c r="BA11" s="231"/>
      <c r="BB11" s="231"/>
      <c r="BC11" s="231"/>
      <c r="BD11" s="231"/>
      <c r="BE11" s="231"/>
      <c r="BF11" s="231"/>
      <c r="BG11" s="231"/>
      <c r="BH11" s="231"/>
      <c r="BI11" s="231"/>
      <c r="BJ11" s="231"/>
    </row>
    <row r="12" spans="1:62" x14ac:dyDescent="0.15">
      <c r="A12" s="7">
        <v>11</v>
      </c>
      <c r="B12" s="23"/>
      <c r="C12" s="145"/>
      <c r="D12" s="146"/>
      <c r="E12" s="146"/>
      <c r="F12" s="157"/>
      <c r="G12" s="23" t="s">
        <v>109</v>
      </c>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2"/>
      <c r="BA12" s="231">
        <v>1100</v>
      </c>
      <c r="BB12" s="231"/>
      <c r="BC12" s="231"/>
      <c r="BD12" s="231"/>
      <c r="BE12" s="231"/>
      <c r="BF12" s="231" t="s">
        <v>117</v>
      </c>
      <c r="BG12" s="231"/>
      <c r="BH12" s="231"/>
      <c r="BI12" s="231"/>
      <c r="BJ12" s="231"/>
    </row>
    <row r="13" spans="1:62" x14ac:dyDescent="0.15">
      <c r="A13" s="7">
        <v>12</v>
      </c>
      <c r="B13" s="23"/>
      <c r="C13" s="145"/>
      <c r="D13" s="146"/>
      <c r="E13" s="146"/>
      <c r="F13" s="157"/>
      <c r="G13" s="23" t="s">
        <v>110</v>
      </c>
      <c r="H13" s="41"/>
      <c r="I13" s="41"/>
      <c r="J13" s="41"/>
      <c r="K13" s="41"/>
      <c r="L13" s="41"/>
      <c r="M13" s="41"/>
      <c r="N13" s="41"/>
      <c r="O13" s="41"/>
      <c r="P13" s="41"/>
      <c r="Q13" s="41"/>
      <c r="R13" s="41"/>
      <c r="S13" s="41"/>
      <c r="T13" s="41"/>
      <c r="U13" s="41"/>
      <c r="V13" s="41"/>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1"/>
      <c r="AV13" s="41"/>
      <c r="AW13" s="41"/>
      <c r="AX13" s="41"/>
      <c r="AY13" s="41"/>
      <c r="AZ13" s="42"/>
      <c r="BA13" s="231">
        <v>8</v>
      </c>
      <c r="BB13" s="231"/>
      <c r="BC13" s="231"/>
      <c r="BD13" s="231"/>
      <c r="BE13" s="231"/>
      <c r="BF13" s="231" t="s">
        <v>118</v>
      </c>
      <c r="BG13" s="231"/>
      <c r="BH13" s="231"/>
      <c r="BI13" s="231"/>
      <c r="BJ13" s="231"/>
    </row>
    <row r="14" spans="1:62" x14ac:dyDescent="0.15">
      <c r="A14" s="7">
        <v>13</v>
      </c>
      <c r="B14" s="23"/>
      <c r="C14" s="145"/>
      <c r="D14" s="146"/>
      <c r="E14" s="146"/>
      <c r="F14" s="157"/>
      <c r="G14" s="23" t="s">
        <v>111</v>
      </c>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2"/>
      <c r="BA14" s="231">
        <v>217</v>
      </c>
      <c r="BB14" s="231"/>
      <c r="BC14" s="231"/>
      <c r="BD14" s="231"/>
      <c r="BE14" s="231"/>
      <c r="BF14" s="231" t="s">
        <v>118</v>
      </c>
      <c r="BG14" s="231"/>
      <c r="BH14" s="231"/>
      <c r="BI14" s="231"/>
      <c r="BJ14" s="231"/>
    </row>
    <row r="15" spans="1:62" x14ac:dyDescent="0.15">
      <c r="A15" s="7">
        <v>14</v>
      </c>
      <c r="B15" s="23"/>
      <c r="C15" s="145"/>
      <c r="D15" s="146"/>
      <c r="E15" s="146"/>
      <c r="F15" s="157"/>
      <c r="G15" s="23" t="s">
        <v>112</v>
      </c>
      <c r="H15" s="41"/>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2"/>
      <c r="BA15" s="231">
        <v>10</v>
      </c>
      <c r="BB15" s="231"/>
      <c r="BC15" s="231"/>
      <c r="BD15" s="231"/>
      <c r="BE15" s="231"/>
      <c r="BF15" s="231" t="s">
        <v>118</v>
      </c>
      <c r="BG15" s="231"/>
      <c r="BH15" s="231"/>
      <c r="BI15" s="231"/>
      <c r="BJ15" s="231"/>
    </row>
    <row r="16" spans="1:62" x14ac:dyDescent="0.15">
      <c r="A16" s="7">
        <v>15</v>
      </c>
      <c r="B16" s="23"/>
      <c r="C16" s="145"/>
      <c r="D16" s="146"/>
      <c r="E16" s="146"/>
      <c r="F16" s="157"/>
      <c r="G16" s="23" t="s">
        <v>113</v>
      </c>
      <c r="H16" s="41"/>
      <c r="I16" s="41"/>
      <c r="J16" s="41"/>
      <c r="K16" s="41"/>
      <c r="L16" s="41"/>
      <c r="M16" s="41"/>
      <c r="N16" s="41"/>
      <c r="O16" s="41"/>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2"/>
      <c r="BA16" s="231">
        <v>20</v>
      </c>
      <c r="BB16" s="231"/>
      <c r="BC16" s="231"/>
      <c r="BD16" s="231"/>
      <c r="BE16" s="231"/>
      <c r="BF16" s="231" t="s">
        <v>118</v>
      </c>
      <c r="BG16" s="231"/>
      <c r="BH16" s="231"/>
      <c r="BI16" s="231"/>
      <c r="BJ16" s="231"/>
    </row>
    <row r="17" spans="1:62" x14ac:dyDescent="0.15">
      <c r="A17" s="7">
        <v>16</v>
      </c>
      <c r="B17" s="23"/>
      <c r="C17" s="145"/>
      <c r="D17" s="146"/>
      <c r="E17" s="146"/>
      <c r="F17" s="157"/>
      <c r="G17" s="23" t="s">
        <v>114</v>
      </c>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2"/>
      <c r="BA17" s="231">
        <v>450</v>
      </c>
      <c r="BB17" s="231"/>
      <c r="BC17" s="231"/>
      <c r="BD17" s="231"/>
      <c r="BE17" s="231"/>
      <c r="BF17" s="231" t="s">
        <v>117</v>
      </c>
      <c r="BG17" s="231"/>
      <c r="BH17" s="231"/>
      <c r="BI17" s="231"/>
      <c r="BJ17" s="231"/>
    </row>
    <row r="18" spans="1:62" x14ac:dyDescent="0.15">
      <c r="A18" s="7">
        <v>17</v>
      </c>
      <c r="B18" s="23"/>
      <c r="C18" s="145"/>
      <c r="D18" s="146"/>
      <c r="E18" s="146"/>
      <c r="F18" s="157"/>
      <c r="G18" s="23" t="s">
        <v>116</v>
      </c>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2"/>
      <c r="BA18" s="231">
        <v>300</v>
      </c>
      <c r="BB18" s="231"/>
      <c r="BC18" s="231"/>
      <c r="BD18" s="231"/>
      <c r="BE18" s="231"/>
      <c r="BF18" s="231" t="s">
        <v>118</v>
      </c>
      <c r="BG18" s="231"/>
      <c r="BH18" s="231"/>
      <c r="BI18" s="231"/>
      <c r="BJ18" s="231"/>
    </row>
    <row r="19" spans="1:62" x14ac:dyDescent="0.15">
      <c r="A19" s="7">
        <v>18</v>
      </c>
      <c r="B19" s="23"/>
      <c r="C19" s="145"/>
      <c r="D19" s="146"/>
      <c r="E19" s="146"/>
      <c r="F19" s="157"/>
      <c r="G19" s="23" t="s">
        <v>121</v>
      </c>
      <c r="H19" s="41"/>
      <c r="I19" s="41"/>
      <c r="J19" s="41"/>
      <c r="K19" s="41"/>
      <c r="L19" s="41"/>
      <c r="M19" s="41"/>
      <c r="N19" s="41"/>
      <c r="O19" s="41"/>
      <c r="P19" s="41"/>
      <c r="Q19" s="41"/>
      <c r="R19" s="41"/>
      <c r="S19" s="41"/>
      <c r="T19" s="41"/>
      <c r="U19" s="41"/>
      <c r="V19" s="41"/>
      <c r="W19" s="41"/>
      <c r="X19" s="41"/>
      <c r="Y19" s="41"/>
      <c r="Z19" s="41"/>
      <c r="AA19" s="41"/>
      <c r="AB19" s="41"/>
      <c r="AC19" s="41"/>
      <c r="AD19" s="41"/>
      <c r="AE19" s="41"/>
      <c r="AF19" s="41"/>
      <c r="AG19" s="41"/>
      <c r="AH19" s="41"/>
      <c r="AI19" s="41"/>
      <c r="AJ19" s="41"/>
      <c r="AK19" s="41"/>
      <c r="AL19" s="41"/>
      <c r="AM19" s="41"/>
      <c r="AN19" s="41"/>
      <c r="AO19" s="41"/>
      <c r="AP19" s="41"/>
      <c r="AQ19" s="41"/>
      <c r="AR19" s="41"/>
      <c r="AS19" s="41"/>
      <c r="AT19" s="41"/>
      <c r="AU19" s="41"/>
      <c r="AV19" s="41"/>
      <c r="AW19" s="41"/>
      <c r="AX19" s="41"/>
      <c r="AY19" s="41"/>
      <c r="AZ19" s="42"/>
      <c r="BA19" s="231">
        <v>0.1</v>
      </c>
      <c r="BB19" s="231"/>
      <c r="BC19" s="231"/>
      <c r="BD19" s="231"/>
      <c r="BE19" s="231"/>
      <c r="BF19" s="231" t="s">
        <v>119</v>
      </c>
      <c r="BG19" s="231"/>
      <c r="BH19" s="231"/>
      <c r="BI19" s="231"/>
      <c r="BJ19" s="231"/>
    </row>
    <row r="20" spans="1:62" x14ac:dyDescent="0.15">
      <c r="A20" s="7">
        <v>19</v>
      </c>
      <c r="B20" s="23"/>
      <c r="C20" s="145"/>
      <c r="D20" s="146"/>
      <c r="E20" s="146"/>
      <c r="F20" s="157"/>
      <c r="G20" s="23" t="s">
        <v>120</v>
      </c>
      <c r="H20" s="41"/>
      <c r="I20" s="41"/>
      <c r="J20" s="41"/>
      <c r="K20" s="41"/>
      <c r="L20" s="41"/>
      <c r="M20" s="41"/>
      <c r="N20" s="41"/>
      <c r="O20" s="41"/>
      <c r="P20" s="41"/>
      <c r="Q20" s="41"/>
      <c r="R20" s="41"/>
      <c r="S20" s="41"/>
      <c r="T20" s="41"/>
      <c r="U20" s="41"/>
      <c r="V20" s="41"/>
      <c r="W20" s="41"/>
      <c r="X20" s="41"/>
      <c r="Y20" s="41"/>
      <c r="Z20" s="41"/>
      <c r="AA20" s="41"/>
      <c r="AB20" s="41"/>
      <c r="AC20" s="41"/>
      <c r="AD20" s="41"/>
      <c r="AE20" s="41"/>
      <c r="AF20" s="41"/>
      <c r="AG20" s="41"/>
      <c r="AH20" s="41"/>
      <c r="AI20" s="41"/>
      <c r="AJ20" s="41"/>
      <c r="AK20" s="41"/>
      <c r="AL20" s="41"/>
      <c r="AM20" s="41"/>
      <c r="AN20" s="41"/>
      <c r="AO20" s="41"/>
      <c r="AP20" s="41"/>
      <c r="AQ20" s="41"/>
      <c r="AR20" s="41"/>
      <c r="AS20" s="41"/>
      <c r="AT20" s="41"/>
      <c r="AU20" s="41"/>
      <c r="AV20" s="41"/>
      <c r="AW20" s="41"/>
      <c r="AX20" s="41"/>
      <c r="AY20" s="41"/>
      <c r="AZ20" s="42"/>
      <c r="BA20" s="231">
        <v>1.5</v>
      </c>
      <c r="BB20" s="231"/>
      <c r="BC20" s="231"/>
      <c r="BD20" s="231"/>
      <c r="BE20" s="231"/>
      <c r="BF20" s="231" t="s">
        <v>123</v>
      </c>
      <c r="BG20" s="231"/>
      <c r="BH20" s="231"/>
      <c r="BI20" s="231"/>
      <c r="BJ20" s="231"/>
    </row>
    <row r="21" spans="1:62" x14ac:dyDescent="0.15">
      <c r="A21" s="7">
        <v>20</v>
      </c>
      <c r="B21" s="23"/>
      <c r="C21" s="145"/>
      <c r="D21" s="146"/>
      <c r="E21" s="146"/>
      <c r="F21" s="157"/>
      <c r="G21" s="23" t="s">
        <v>122</v>
      </c>
      <c r="H21" s="41"/>
      <c r="I21" s="41"/>
      <c r="J21" s="41"/>
      <c r="K21" s="41"/>
      <c r="L21" s="41"/>
      <c r="M21" s="41"/>
      <c r="N21" s="41"/>
      <c r="O21" s="41"/>
      <c r="P21" s="41"/>
      <c r="Q21" s="4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41"/>
      <c r="AQ21" s="41"/>
      <c r="AR21" s="41"/>
      <c r="AS21" s="41"/>
      <c r="AT21" s="41"/>
      <c r="AU21" s="41"/>
      <c r="AV21" s="41"/>
      <c r="AW21" s="41"/>
      <c r="AX21" s="41"/>
      <c r="AY21" s="41"/>
      <c r="AZ21" s="42"/>
      <c r="BA21" s="231">
        <v>1</v>
      </c>
      <c r="BB21" s="231"/>
      <c r="BC21" s="231"/>
      <c r="BD21" s="231"/>
      <c r="BE21" s="231"/>
      <c r="BF21" s="231" t="s">
        <v>123</v>
      </c>
      <c r="BG21" s="231"/>
      <c r="BH21" s="231"/>
      <c r="BI21" s="231"/>
      <c r="BJ21" s="231"/>
    </row>
    <row r="22" spans="1:62" x14ac:dyDescent="0.15">
      <c r="A22" s="7">
        <v>21</v>
      </c>
      <c r="B22" s="23"/>
      <c r="C22" s="145"/>
      <c r="D22" s="146"/>
      <c r="E22" s="146"/>
      <c r="F22" s="157"/>
      <c r="G22" s="23" t="s">
        <v>124</v>
      </c>
      <c r="H22" s="41"/>
      <c r="I22" s="41"/>
      <c r="J22" s="41"/>
      <c r="K22" s="41"/>
      <c r="L22" s="41"/>
      <c r="M22" s="41"/>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2"/>
      <c r="BA22" s="231">
        <v>85</v>
      </c>
      <c r="BB22" s="231"/>
      <c r="BC22" s="231"/>
      <c r="BD22" s="231"/>
      <c r="BE22" s="231"/>
      <c r="BF22" s="231" t="s">
        <v>118</v>
      </c>
      <c r="BG22" s="231"/>
      <c r="BH22" s="231"/>
      <c r="BI22" s="231"/>
      <c r="BJ22" s="231"/>
    </row>
    <row r="23" spans="1:62" x14ac:dyDescent="0.15">
      <c r="A23" s="7">
        <v>22</v>
      </c>
      <c r="B23" s="23"/>
      <c r="C23" s="145"/>
      <c r="D23" s="146"/>
      <c r="E23" s="146"/>
      <c r="F23" s="157"/>
      <c r="G23" s="23" t="s">
        <v>125</v>
      </c>
      <c r="H23" s="41"/>
      <c r="I23" s="41"/>
      <c r="J23" s="41"/>
      <c r="K23" s="41"/>
      <c r="L23" s="41"/>
      <c r="M23" s="41"/>
      <c r="N23" s="41"/>
      <c r="O23" s="41"/>
      <c r="P23" s="41"/>
      <c r="Q23" s="41"/>
      <c r="R23" s="41"/>
      <c r="S23" s="41"/>
      <c r="T23" s="41"/>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2"/>
      <c r="BA23" s="231">
        <v>78</v>
      </c>
      <c r="BB23" s="231"/>
      <c r="BC23" s="231"/>
      <c r="BD23" s="231"/>
      <c r="BE23" s="231"/>
      <c r="BF23" s="231" t="s">
        <v>118</v>
      </c>
      <c r="BG23" s="231"/>
      <c r="BH23" s="231"/>
      <c r="BI23" s="231"/>
      <c r="BJ23" s="231"/>
    </row>
    <row r="24" spans="1:62" x14ac:dyDescent="0.15">
      <c r="A24" s="7">
        <v>23</v>
      </c>
      <c r="B24" s="23"/>
      <c r="C24" s="145"/>
      <c r="D24" s="146"/>
      <c r="E24" s="146"/>
      <c r="F24" s="157"/>
      <c r="G24" s="23" t="s">
        <v>126</v>
      </c>
      <c r="H24" s="41"/>
      <c r="I24" s="41"/>
      <c r="J24" s="41"/>
      <c r="K24" s="41"/>
      <c r="L24" s="41"/>
      <c r="M24" s="41"/>
      <c r="N24" s="41"/>
      <c r="O24" s="41"/>
      <c r="P24" s="41"/>
      <c r="Q24" s="41"/>
      <c r="R24" s="41"/>
      <c r="S24" s="41"/>
      <c r="T24" s="41"/>
      <c r="U24" s="41"/>
      <c r="V24" s="41"/>
      <c r="W24" s="41"/>
      <c r="X24" s="41"/>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2"/>
      <c r="BA24" s="231">
        <v>0.31</v>
      </c>
      <c r="BB24" s="231"/>
      <c r="BC24" s="231"/>
      <c r="BD24" s="231"/>
      <c r="BE24" s="231"/>
      <c r="BF24" s="231" t="s">
        <v>119</v>
      </c>
      <c r="BG24" s="231"/>
      <c r="BH24" s="231"/>
      <c r="BI24" s="231"/>
      <c r="BJ24" s="231"/>
    </row>
    <row r="25" spans="1:62" x14ac:dyDescent="0.15">
      <c r="A25" s="7">
        <v>24</v>
      </c>
      <c r="B25" s="23"/>
      <c r="C25" s="145"/>
      <c r="D25" s="146"/>
      <c r="E25" s="146"/>
      <c r="F25" s="157"/>
      <c r="G25" s="23" t="s">
        <v>127</v>
      </c>
      <c r="H25" s="41"/>
      <c r="I25" s="41"/>
      <c r="J25" s="41"/>
      <c r="K25" s="41"/>
      <c r="L25" s="41"/>
      <c r="M25" s="41"/>
      <c r="N25" s="41"/>
      <c r="O25" s="41"/>
      <c r="P25" s="41"/>
      <c r="Q25" s="41"/>
      <c r="R25" s="41"/>
      <c r="S25" s="41"/>
      <c r="T25" s="41"/>
      <c r="U25" s="41"/>
      <c r="V25" s="41"/>
      <c r="W25" s="41"/>
      <c r="X25" s="41"/>
      <c r="Y25" s="41"/>
      <c r="Z25" s="41"/>
      <c r="AA25" s="41"/>
      <c r="AB25" s="41"/>
      <c r="AC25" s="41"/>
      <c r="AD25" s="41"/>
      <c r="AE25" s="41"/>
      <c r="AF25" s="41"/>
      <c r="AG25" s="41"/>
      <c r="AH25" s="41"/>
      <c r="AI25" s="41"/>
      <c r="AJ25" s="41"/>
      <c r="AK25" s="41"/>
      <c r="AL25" s="41"/>
      <c r="AM25" s="41"/>
      <c r="AN25" s="41"/>
      <c r="AO25" s="41"/>
      <c r="AP25" s="41"/>
      <c r="AQ25" s="41"/>
      <c r="AR25" s="41"/>
      <c r="AS25" s="41"/>
      <c r="AT25" s="41"/>
      <c r="AU25" s="41"/>
      <c r="AV25" s="41"/>
      <c r="AW25" s="41"/>
      <c r="AX25" s="41"/>
      <c r="AY25" s="41"/>
      <c r="AZ25" s="42"/>
      <c r="BA25" s="231" t="s">
        <v>129</v>
      </c>
      <c r="BB25" s="231"/>
      <c r="BC25" s="231"/>
      <c r="BD25" s="231"/>
      <c r="BE25" s="231"/>
      <c r="BF25" s="231" t="s">
        <v>123</v>
      </c>
      <c r="BG25" s="231"/>
      <c r="BH25" s="231"/>
      <c r="BI25" s="231"/>
      <c r="BJ25" s="231"/>
    </row>
    <row r="26" spans="1:62" x14ac:dyDescent="0.15">
      <c r="A26" s="7">
        <v>25</v>
      </c>
      <c r="B26" s="23"/>
      <c r="C26" s="145"/>
      <c r="D26" s="146"/>
      <c r="E26" s="146"/>
      <c r="F26" s="157"/>
      <c r="G26" s="23" t="s">
        <v>128</v>
      </c>
      <c r="H26" s="41"/>
      <c r="I26" s="41"/>
      <c r="J26" s="41"/>
      <c r="K26" s="41"/>
      <c r="L26" s="41"/>
      <c r="M26" s="41"/>
      <c r="N26" s="41"/>
      <c r="O26" s="41"/>
      <c r="P26" s="41"/>
      <c r="Q26" s="41"/>
      <c r="R26" s="41"/>
      <c r="S26" s="41"/>
      <c r="T26" s="41"/>
      <c r="U26" s="41"/>
      <c r="V26" s="41"/>
      <c r="W26" s="41"/>
      <c r="X26" s="41"/>
      <c r="Y26" s="41"/>
      <c r="Z26" s="41"/>
      <c r="AA26" s="41"/>
      <c r="AB26" s="41"/>
      <c r="AC26" s="41"/>
      <c r="AD26" s="41"/>
      <c r="AE26" s="41"/>
      <c r="AF26" s="41"/>
      <c r="AG26" s="41"/>
      <c r="AH26" s="41"/>
      <c r="AI26" s="41"/>
      <c r="AJ26" s="41"/>
      <c r="AK26" s="41"/>
      <c r="AL26" s="41"/>
      <c r="AM26" s="41"/>
      <c r="AN26" s="41"/>
      <c r="AO26" s="41"/>
      <c r="AP26" s="41"/>
      <c r="AQ26" s="41"/>
      <c r="AR26" s="41"/>
      <c r="AS26" s="41"/>
      <c r="AT26" s="41"/>
      <c r="AU26" s="41"/>
      <c r="AV26" s="44"/>
      <c r="AW26" s="41"/>
      <c r="AX26" s="41"/>
      <c r="AY26" s="41"/>
      <c r="AZ26" s="42"/>
      <c r="BA26" s="231">
        <v>1.5</v>
      </c>
      <c r="BB26" s="231"/>
      <c r="BC26" s="231"/>
      <c r="BD26" s="231"/>
      <c r="BE26" s="231"/>
      <c r="BF26" s="231" t="s">
        <v>118</v>
      </c>
      <c r="BG26" s="231"/>
      <c r="BH26" s="231"/>
      <c r="BI26" s="231"/>
      <c r="BJ26" s="231"/>
    </row>
    <row r="27" spans="1:62" x14ac:dyDescent="0.15">
      <c r="A27" s="7">
        <v>26</v>
      </c>
      <c r="B27" s="23"/>
      <c r="C27" s="47"/>
      <c r="D27" s="48"/>
      <c r="E27" s="48"/>
      <c r="F27" s="49"/>
      <c r="G27" s="23"/>
      <c r="H27" s="41"/>
      <c r="I27" s="41"/>
      <c r="J27" s="41"/>
      <c r="K27" s="41"/>
      <c r="L27" s="41"/>
      <c r="M27" s="41"/>
      <c r="N27" s="41"/>
      <c r="O27" s="41"/>
      <c r="P27" s="41"/>
      <c r="Q27" s="41"/>
      <c r="R27" s="41"/>
      <c r="S27" s="41"/>
      <c r="T27" s="41"/>
      <c r="U27" s="41"/>
      <c r="V27" s="41"/>
      <c r="W27" s="41"/>
      <c r="X27" s="41"/>
      <c r="Y27" s="41"/>
      <c r="Z27" s="41"/>
      <c r="AA27" s="41"/>
      <c r="AB27" s="41"/>
      <c r="AC27" s="41"/>
      <c r="AD27" s="41"/>
      <c r="AE27" s="41"/>
      <c r="AF27" s="41"/>
      <c r="AG27" s="41"/>
      <c r="AH27" s="41"/>
      <c r="AI27" s="41"/>
      <c r="AJ27" s="41"/>
      <c r="AK27" s="41"/>
      <c r="AL27" s="41"/>
      <c r="AM27" s="41"/>
      <c r="AN27" s="41"/>
      <c r="AO27" s="41"/>
      <c r="AP27" s="41"/>
      <c r="AQ27" s="41"/>
      <c r="AR27" s="41"/>
      <c r="AS27" s="41"/>
      <c r="AT27" s="41"/>
      <c r="AU27" s="41"/>
      <c r="AV27" s="44"/>
      <c r="AW27" s="41"/>
      <c r="AX27" s="41"/>
      <c r="AY27" s="41"/>
      <c r="AZ27" s="42"/>
      <c r="BA27" s="231"/>
      <c r="BB27" s="231"/>
      <c r="BC27" s="231"/>
      <c r="BD27" s="231"/>
      <c r="BE27" s="231"/>
      <c r="BF27" s="231"/>
      <c r="BG27" s="231"/>
      <c r="BH27" s="231"/>
      <c r="BI27" s="231"/>
      <c r="BJ27" s="231"/>
    </row>
    <row r="28" spans="1:62" x14ac:dyDescent="0.15">
      <c r="A28" s="7">
        <v>27</v>
      </c>
      <c r="B28" s="23"/>
      <c r="C28" s="47"/>
      <c r="D28" s="48"/>
      <c r="E28" s="48"/>
      <c r="F28" s="49"/>
      <c r="G28" s="80" t="s">
        <v>133</v>
      </c>
      <c r="H28" s="41"/>
      <c r="I28" s="41"/>
      <c r="J28" s="41"/>
      <c r="K28" s="41"/>
      <c r="L28" s="41"/>
      <c r="M28" s="41"/>
      <c r="N28" s="41"/>
      <c r="O28" s="41"/>
      <c r="P28" s="41"/>
      <c r="Q28" s="41"/>
      <c r="R28" s="41"/>
      <c r="S28" s="41"/>
      <c r="T28" s="41"/>
      <c r="U28" s="41"/>
      <c r="V28" s="41"/>
      <c r="W28" s="41"/>
      <c r="X28" s="41"/>
      <c r="Y28" s="41"/>
      <c r="Z28" s="41"/>
      <c r="AA28" s="41"/>
      <c r="AB28" s="41"/>
      <c r="AC28" s="41"/>
      <c r="AD28" s="41"/>
      <c r="AE28" s="41"/>
      <c r="AF28" s="41"/>
      <c r="AG28" s="41"/>
      <c r="AH28" s="41"/>
      <c r="AI28" s="41"/>
      <c r="AJ28" s="41"/>
      <c r="AK28" s="41"/>
      <c r="AL28" s="41"/>
      <c r="AM28" s="41"/>
      <c r="AN28" s="41"/>
      <c r="AO28" s="41"/>
      <c r="AP28" s="41"/>
      <c r="AQ28" s="41"/>
      <c r="AR28" s="41"/>
      <c r="AS28" s="41"/>
      <c r="AT28" s="41"/>
      <c r="AU28" s="41"/>
      <c r="AV28" s="44"/>
      <c r="AW28" s="41"/>
      <c r="AX28" s="41"/>
      <c r="AY28" s="41"/>
      <c r="AZ28" s="42"/>
      <c r="BA28" s="231"/>
      <c r="BB28" s="231"/>
      <c r="BC28" s="231"/>
      <c r="BD28" s="231"/>
      <c r="BE28" s="231"/>
      <c r="BF28" s="231"/>
      <c r="BG28" s="231"/>
      <c r="BH28" s="231"/>
      <c r="BI28" s="231"/>
      <c r="BJ28" s="231"/>
    </row>
    <row r="29" spans="1:62" x14ac:dyDescent="0.15">
      <c r="A29" s="7">
        <v>28</v>
      </c>
      <c r="B29" s="23"/>
      <c r="C29" s="47"/>
      <c r="D29" s="48"/>
      <c r="E29" s="48"/>
      <c r="F29" s="49"/>
      <c r="G29" s="23"/>
      <c r="H29" s="41"/>
      <c r="I29" s="41"/>
      <c r="J29" s="41"/>
      <c r="K29" s="41"/>
      <c r="L29" s="41"/>
      <c r="M29" s="41"/>
      <c r="N29" s="41"/>
      <c r="O29" s="41"/>
      <c r="P29" s="41"/>
      <c r="Q29" s="41"/>
      <c r="R29" s="41"/>
      <c r="S29" s="41"/>
      <c r="T29" s="41"/>
      <c r="U29" s="41"/>
      <c r="V29" s="41"/>
      <c r="W29" s="41"/>
      <c r="X29" s="41"/>
      <c r="Y29" s="41"/>
      <c r="Z29" s="41"/>
      <c r="AA29" s="41"/>
      <c r="AB29" s="41"/>
      <c r="AC29" s="41"/>
      <c r="AD29" s="41"/>
      <c r="AE29" s="41"/>
      <c r="AF29" s="41"/>
      <c r="AG29" s="41"/>
      <c r="AH29" s="41"/>
      <c r="AI29" s="41"/>
      <c r="AJ29" s="41"/>
      <c r="AK29" s="41"/>
      <c r="AL29" s="41"/>
      <c r="AM29" s="41"/>
      <c r="AN29" s="41"/>
      <c r="AO29" s="41"/>
      <c r="AP29" s="41"/>
      <c r="AQ29" s="41"/>
      <c r="AR29" s="41"/>
      <c r="AS29" s="41"/>
      <c r="AT29" s="41"/>
      <c r="AU29" s="41"/>
      <c r="AV29" s="44"/>
      <c r="AW29" s="41"/>
      <c r="AX29" s="41"/>
      <c r="AY29" s="41"/>
      <c r="AZ29" s="42"/>
      <c r="BA29" s="231"/>
      <c r="BB29" s="231"/>
      <c r="BC29" s="231"/>
      <c r="BD29" s="231"/>
      <c r="BE29" s="231"/>
      <c r="BF29" s="231"/>
      <c r="BG29" s="231"/>
      <c r="BH29" s="231"/>
      <c r="BI29" s="231"/>
      <c r="BJ29" s="231"/>
    </row>
    <row r="30" spans="1:62" x14ac:dyDescent="0.15">
      <c r="A30" s="7">
        <v>29</v>
      </c>
      <c r="B30" s="23"/>
      <c r="C30" s="47"/>
      <c r="D30" s="48"/>
      <c r="E30" s="48"/>
      <c r="F30" s="49"/>
      <c r="G30" s="23" t="s">
        <v>148</v>
      </c>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4"/>
      <c r="AW30" s="41"/>
      <c r="AX30" s="41"/>
      <c r="AY30" s="41"/>
      <c r="AZ30" s="42"/>
      <c r="BA30" s="231"/>
      <c r="BB30" s="231"/>
      <c r="BC30" s="231"/>
      <c r="BD30" s="231"/>
      <c r="BE30" s="231"/>
      <c r="BF30" s="231"/>
      <c r="BG30" s="231"/>
      <c r="BH30" s="231"/>
      <c r="BI30" s="231"/>
      <c r="BJ30" s="231"/>
    </row>
    <row r="31" spans="1:62" x14ac:dyDescent="0.15">
      <c r="A31" s="7">
        <v>30</v>
      </c>
      <c r="B31" s="23"/>
      <c r="C31" s="47"/>
      <c r="D31" s="48"/>
      <c r="E31" s="48"/>
      <c r="F31" s="49"/>
      <c r="G31" s="23" t="s">
        <v>144</v>
      </c>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4"/>
      <c r="AW31" s="41"/>
      <c r="AX31" s="41"/>
      <c r="AY31" s="41"/>
      <c r="AZ31" s="42"/>
      <c r="BA31" s="231"/>
      <c r="BB31" s="231"/>
      <c r="BC31" s="231"/>
      <c r="BD31" s="231"/>
      <c r="BE31" s="231"/>
      <c r="BF31" s="231"/>
      <c r="BG31" s="231"/>
      <c r="BH31" s="231"/>
      <c r="BI31" s="231"/>
      <c r="BJ31" s="231"/>
    </row>
    <row r="32" spans="1:62" x14ac:dyDescent="0.15">
      <c r="A32" s="7">
        <v>31</v>
      </c>
      <c r="B32" s="23"/>
      <c r="C32" s="47"/>
      <c r="D32" s="48"/>
      <c r="E32" s="48"/>
      <c r="F32" s="49"/>
      <c r="G32" s="23" t="s">
        <v>130</v>
      </c>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t="s">
        <v>177</v>
      </c>
      <c r="AQ32" s="41"/>
      <c r="AR32" s="41"/>
      <c r="AS32" s="41"/>
      <c r="AT32" s="41"/>
      <c r="AU32" s="41"/>
      <c r="AV32" s="44"/>
      <c r="AW32" s="41"/>
      <c r="AX32" s="41"/>
      <c r="AY32" s="41"/>
      <c r="AZ32" s="42"/>
      <c r="BA32" s="231"/>
      <c r="BB32" s="231"/>
      <c r="BC32" s="231"/>
      <c r="BD32" s="231"/>
      <c r="BE32" s="231"/>
      <c r="BF32" s="231"/>
      <c r="BG32" s="231"/>
      <c r="BH32" s="231"/>
      <c r="BI32" s="231"/>
      <c r="BJ32" s="231"/>
    </row>
    <row r="33" spans="1:62" x14ac:dyDescent="0.15">
      <c r="A33" s="7">
        <v>32</v>
      </c>
      <c r="B33" s="23"/>
      <c r="C33" s="47"/>
      <c r="D33" s="48"/>
      <c r="E33" s="48"/>
      <c r="F33" s="49"/>
      <c r="G33" s="23"/>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4"/>
      <c r="AW33" s="41"/>
      <c r="AX33" s="41"/>
      <c r="AY33" s="41"/>
      <c r="AZ33" s="42"/>
      <c r="BA33" s="231"/>
      <c r="BB33" s="231"/>
      <c r="BC33" s="231"/>
      <c r="BD33" s="231"/>
      <c r="BE33" s="231"/>
      <c r="BF33" s="231"/>
      <c r="BG33" s="231"/>
      <c r="BH33" s="231"/>
      <c r="BI33" s="231"/>
      <c r="BJ33" s="231"/>
    </row>
    <row r="34" spans="1:62" x14ac:dyDescent="0.15">
      <c r="A34" s="7">
        <v>33</v>
      </c>
      <c r="B34" s="23"/>
      <c r="C34" s="47"/>
      <c r="D34" s="48"/>
      <c r="E34" s="48"/>
      <c r="F34" s="49"/>
      <c r="G34" s="23" t="s">
        <v>145</v>
      </c>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4"/>
      <c r="AW34" s="41"/>
      <c r="AX34" s="41"/>
      <c r="AY34" s="41"/>
      <c r="AZ34" s="42"/>
      <c r="BA34" s="231"/>
      <c r="BB34" s="231"/>
      <c r="BC34" s="231"/>
      <c r="BD34" s="231"/>
      <c r="BE34" s="231"/>
      <c r="BF34" s="231"/>
      <c r="BG34" s="231"/>
      <c r="BH34" s="231"/>
      <c r="BI34" s="231"/>
      <c r="BJ34" s="231"/>
    </row>
    <row r="35" spans="1:62" x14ac:dyDescent="0.15">
      <c r="A35" s="7">
        <v>34</v>
      </c>
      <c r="B35" s="23"/>
      <c r="C35" s="47"/>
      <c r="D35" s="48"/>
      <c r="E35" s="48"/>
      <c r="F35" s="49"/>
      <c r="G35" s="23" t="s">
        <v>146</v>
      </c>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4"/>
      <c r="AW35" s="41"/>
      <c r="AX35" s="41"/>
      <c r="AY35" s="41"/>
      <c r="AZ35" s="42"/>
      <c r="BA35" s="231"/>
      <c r="BB35" s="231"/>
      <c r="BC35" s="231"/>
      <c r="BD35" s="231"/>
      <c r="BE35" s="231"/>
      <c r="BF35" s="231"/>
      <c r="BG35" s="231"/>
      <c r="BH35" s="231"/>
      <c r="BI35" s="231"/>
      <c r="BJ35" s="231"/>
    </row>
    <row r="36" spans="1:62" x14ac:dyDescent="0.15">
      <c r="A36" s="7">
        <v>35</v>
      </c>
      <c r="B36" s="23"/>
      <c r="C36" s="145"/>
      <c r="D36" s="146"/>
      <c r="E36" s="146"/>
      <c r="F36" s="157"/>
      <c r="G36" s="23" t="s">
        <v>132</v>
      </c>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2"/>
      <c r="BA36" s="231"/>
      <c r="BB36" s="231"/>
      <c r="BC36" s="231"/>
      <c r="BD36" s="231"/>
      <c r="BE36" s="231"/>
      <c r="BF36" s="231"/>
      <c r="BG36" s="231"/>
      <c r="BH36" s="231"/>
      <c r="BI36" s="231"/>
      <c r="BJ36" s="231"/>
    </row>
    <row r="37" spans="1:62" x14ac:dyDescent="0.15">
      <c r="A37" s="7">
        <v>36</v>
      </c>
      <c r="B37" s="23"/>
      <c r="C37" s="47"/>
      <c r="D37" s="48"/>
      <c r="E37" s="48"/>
      <c r="F37" s="49"/>
      <c r="G37" s="23"/>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2"/>
      <c r="BA37" s="231"/>
      <c r="BB37" s="231"/>
      <c r="BC37" s="231"/>
      <c r="BD37" s="231"/>
      <c r="BE37" s="231"/>
      <c r="BF37" s="231"/>
      <c r="BG37" s="231"/>
      <c r="BH37" s="231"/>
      <c r="BI37" s="231"/>
      <c r="BJ37" s="231"/>
    </row>
    <row r="38" spans="1:62" x14ac:dyDescent="0.15">
      <c r="A38" s="7">
        <v>37</v>
      </c>
      <c r="B38" s="23"/>
      <c r="C38" s="47"/>
      <c r="D38" s="48"/>
      <c r="E38" s="48"/>
      <c r="F38" s="49"/>
      <c r="G38" s="23" t="s">
        <v>147</v>
      </c>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2"/>
      <c r="BA38" s="231"/>
      <c r="BB38" s="231"/>
      <c r="BC38" s="231"/>
      <c r="BD38" s="231"/>
      <c r="BE38" s="231"/>
      <c r="BF38" s="231"/>
      <c r="BG38" s="231"/>
      <c r="BH38" s="231"/>
      <c r="BI38" s="231"/>
      <c r="BJ38" s="231"/>
    </row>
    <row r="39" spans="1:62" x14ac:dyDescent="0.15">
      <c r="A39" s="7">
        <v>38</v>
      </c>
      <c r="B39" s="23"/>
      <c r="C39" s="145"/>
      <c r="D39" s="146"/>
      <c r="E39" s="146"/>
      <c r="F39" s="157"/>
      <c r="G39" s="23" t="s">
        <v>149</v>
      </c>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5"/>
      <c r="AT39" s="41"/>
      <c r="AU39" s="41"/>
      <c r="AV39" s="41"/>
      <c r="AW39" s="41"/>
      <c r="AX39" s="41"/>
      <c r="AY39" s="41"/>
      <c r="AZ39" s="42"/>
      <c r="BA39" s="231"/>
      <c r="BB39" s="231"/>
      <c r="BC39" s="231"/>
      <c r="BD39" s="231"/>
      <c r="BE39" s="231"/>
      <c r="BF39" s="231"/>
      <c r="BG39" s="231"/>
      <c r="BH39" s="231"/>
      <c r="BI39" s="231"/>
      <c r="BJ39" s="231"/>
    </row>
    <row r="40" spans="1:62" x14ac:dyDescent="0.15">
      <c r="A40" s="7">
        <v>39</v>
      </c>
      <c r="B40" s="23"/>
      <c r="C40" s="145"/>
      <c r="D40" s="146"/>
      <c r="E40" s="146"/>
      <c r="F40" s="157"/>
      <c r="G40" s="23" t="s">
        <v>131</v>
      </c>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2"/>
      <c r="BA40" s="231"/>
      <c r="BB40" s="231"/>
      <c r="BC40" s="231"/>
      <c r="BD40" s="231"/>
      <c r="BE40" s="231"/>
      <c r="BF40" s="231"/>
      <c r="BG40" s="231"/>
      <c r="BH40" s="231"/>
      <c r="BI40" s="231"/>
      <c r="BJ40" s="231"/>
    </row>
    <row r="41" spans="1:62" x14ac:dyDescent="0.15">
      <c r="A41" s="7">
        <v>40</v>
      </c>
      <c r="B41" s="23"/>
      <c r="C41" s="47"/>
      <c r="D41" s="48"/>
      <c r="E41" s="48"/>
      <c r="F41" s="49"/>
      <c r="G41" s="23"/>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2"/>
      <c r="BA41" s="231"/>
      <c r="BB41" s="231"/>
      <c r="BC41" s="231"/>
      <c r="BD41" s="231"/>
      <c r="BE41" s="231"/>
      <c r="BF41" s="231"/>
      <c r="BG41" s="231"/>
      <c r="BH41" s="231"/>
      <c r="BI41" s="231"/>
      <c r="BJ41" s="231"/>
    </row>
    <row r="42" spans="1:62" x14ac:dyDescent="0.15">
      <c r="A42" s="7">
        <v>41</v>
      </c>
      <c r="B42" s="23"/>
      <c r="C42" s="47"/>
      <c r="D42" s="48"/>
      <c r="E42" s="48"/>
      <c r="F42" s="49"/>
      <c r="G42" s="23" t="s">
        <v>150</v>
      </c>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2"/>
      <c r="BA42" s="231"/>
      <c r="BB42" s="231"/>
      <c r="BC42" s="231"/>
      <c r="BD42" s="231"/>
      <c r="BE42" s="231"/>
      <c r="BF42" s="231"/>
      <c r="BG42" s="231"/>
      <c r="BH42" s="231"/>
      <c r="BI42" s="231"/>
      <c r="BJ42" s="231"/>
    </row>
    <row r="43" spans="1:62" x14ac:dyDescent="0.15">
      <c r="A43" s="7">
        <v>42</v>
      </c>
      <c r="B43" s="23"/>
      <c r="C43" s="145"/>
      <c r="D43" s="146"/>
      <c r="E43" s="146"/>
      <c r="F43" s="157"/>
      <c r="G43" s="23" t="s">
        <v>151</v>
      </c>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2"/>
      <c r="BA43" s="231"/>
      <c r="BB43" s="231"/>
      <c r="BC43" s="231"/>
      <c r="BD43" s="231"/>
      <c r="BE43" s="231"/>
      <c r="BF43" s="231"/>
      <c r="BG43" s="231"/>
      <c r="BH43" s="231"/>
      <c r="BI43" s="231"/>
      <c r="BJ43" s="231"/>
    </row>
    <row r="44" spans="1:62" x14ac:dyDescent="0.15">
      <c r="A44" s="7">
        <v>43</v>
      </c>
      <c r="B44" s="23"/>
      <c r="C44" s="145"/>
      <c r="D44" s="146"/>
      <c r="E44" s="146"/>
      <c r="F44" s="157"/>
      <c r="G44" s="23" t="s">
        <v>143</v>
      </c>
      <c r="H44" s="41"/>
      <c r="I44" s="41"/>
      <c r="J44" s="41"/>
      <c r="K44" s="41"/>
      <c r="L44" s="41"/>
      <c r="M44" s="41"/>
      <c r="N44" s="41"/>
      <c r="O44" s="45"/>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2"/>
      <c r="BA44" s="231"/>
      <c r="BB44" s="231"/>
      <c r="BC44" s="231"/>
      <c r="BD44" s="231"/>
      <c r="BE44" s="231"/>
      <c r="BF44" s="231"/>
      <c r="BG44" s="231"/>
      <c r="BH44" s="231"/>
      <c r="BI44" s="231"/>
      <c r="BJ44" s="231"/>
    </row>
    <row r="45" spans="1:62" x14ac:dyDescent="0.15">
      <c r="A45" s="7">
        <v>44</v>
      </c>
      <c r="B45" s="23"/>
      <c r="C45" s="47"/>
      <c r="D45" s="48"/>
      <c r="E45" s="48"/>
      <c r="F45" s="49"/>
      <c r="G45" s="23"/>
      <c r="H45" s="41"/>
      <c r="I45" s="41"/>
      <c r="J45" s="41"/>
      <c r="K45" s="41"/>
      <c r="L45" s="41"/>
      <c r="M45" s="41"/>
      <c r="N45" s="41"/>
      <c r="O45" s="45"/>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2"/>
      <c r="BA45" s="231"/>
      <c r="BB45" s="231"/>
      <c r="BC45" s="231"/>
      <c r="BD45" s="231"/>
      <c r="BE45" s="231"/>
      <c r="BF45" s="231"/>
      <c r="BG45" s="231"/>
      <c r="BH45" s="231"/>
      <c r="BI45" s="231"/>
      <c r="BJ45" s="231"/>
    </row>
    <row r="46" spans="1:62" x14ac:dyDescent="0.15">
      <c r="A46" s="7">
        <v>45</v>
      </c>
      <c r="B46" s="23"/>
      <c r="C46" s="47"/>
      <c r="D46" s="48"/>
      <c r="E46" s="48"/>
      <c r="F46" s="49"/>
      <c r="G46" s="23" t="s">
        <v>152</v>
      </c>
      <c r="H46" s="41"/>
      <c r="I46" s="41"/>
      <c r="J46" s="41"/>
      <c r="K46" s="41"/>
      <c r="L46" s="41"/>
      <c r="M46" s="41"/>
      <c r="N46" s="41"/>
      <c r="O46" s="45"/>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2"/>
      <c r="BA46" s="231"/>
      <c r="BB46" s="231"/>
      <c r="BC46" s="231"/>
      <c r="BD46" s="231"/>
      <c r="BE46" s="231"/>
      <c r="BF46" s="231"/>
      <c r="BG46" s="231"/>
      <c r="BH46" s="231"/>
      <c r="BI46" s="231"/>
      <c r="BJ46" s="231"/>
    </row>
    <row r="47" spans="1:62" x14ac:dyDescent="0.15">
      <c r="A47" s="7">
        <v>46</v>
      </c>
      <c r="B47" s="23"/>
      <c r="C47" s="145"/>
      <c r="D47" s="146"/>
      <c r="E47" s="146"/>
      <c r="F47" s="157"/>
      <c r="G47" s="23" t="s">
        <v>153</v>
      </c>
      <c r="H47" s="41"/>
      <c r="I47" s="41"/>
      <c r="J47" s="41"/>
      <c r="K47" s="41"/>
      <c r="L47" s="41"/>
      <c r="M47" s="41"/>
      <c r="N47" s="41"/>
      <c r="O47" s="41"/>
      <c r="P47" s="41"/>
      <c r="Q47" s="41"/>
      <c r="R47" s="41"/>
      <c r="S47" s="41"/>
      <c r="T47" s="41"/>
      <c r="U47" s="41"/>
      <c r="V47" s="41"/>
      <c r="W47" s="41"/>
      <c r="X47" s="41"/>
      <c r="Y47" s="41"/>
      <c r="Z47" s="41"/>
      <c r="AA47" s="41"/>
      <c r="AB47" s="41"/>
      <c r="AC47" s="41"/>
      <c r="AD47" s="41"/>
      <c r="AE47" s="41"/>
      <c r="AF47" s="41"/>
      <c r="AG47" s="41"/>
      <c r="AH47" s="41"/>
      <c r="AI47" s="41"/>
      <c r="AJ47" s="41"/>
      <c r="AK47" s="41"/>
      <c r="AL47" s="41"/>
      <c r="AM47" s="41"/>
      <c r="AN47" s="41"/>
      <c r="AO47" s="41"/>
      <c r="AP47" s="41"/>
      <c r="AQ47" s="41"/>
      <c r="AR47" s="41"/>
      <c r="AS47" s="41"/>
      <c r="AT47" s="41"/>
      <c r="AU47" s="41"/>
      <c r="AV47" s="41"/>
      <c r="AW47" s="41"/>
      <c r="AX47" s="41"/>
      <c r="AY47" s="41"/>
      <c r="AZ47" s="42"/>
      <c r="BA47" s="231"/>
      <c r="BB47" s="231"/>
      <c r="BC47" s="231"/>
      <c r="BD47" s="231"/>
      <c r="BE47" s="231"/>
      <c r="BF47" s="231"/>
      <c r="BG47" s="231"/>
      <c r="BH47" s="231"/>
      <c r="BI47" s="231"/>
      <c r="BJ47" s="231"/>
    </row>
    <row r="48" spans="1:62" x14ac:dyDescent="0.15">
      <c r="A48" s="7">
        <v>47</v>
      </c>
      <c r="B48" s="23"/>
      <c r="C48" s="145"/>
      <c r="D48" s="146"/>
      <c r="E48" s="146"/>
      <c r="F48" s="157"/>
      <c r="G48" s="23" t="s">
        <v>134</v>
      </c>
      <c r="H48" s="41"/>
      <c r="I48" s="41"/>
      <c r="J48" s="41"/>
      <c r="K48" s="41"/>
      <c r="L48" s="41"/>
      <c r="M48" s="41"/>
      <c r="N48" s="41"/>
      <c r="O48" s="41"/>
      <c r="P48" s="41"/>
      <c r="Q48" s="41"/>
      <c r="R48" s="41"/>
      <c r="S48" s="41"/>
      <c r="T48" s="41"/>
      <c r="U48" s="41"/>
      <c r="V48" s="41"/>
      <c r="W48" s="41"/>
      <c r="X48" s="41"/>
      <c r="Y48" s="41"/>
      <c r="Z48" s="41"/>
      <c r="AA48" s="41"/>
      <c r="AB48" s="41"/>
      <c r="AC48" s="41"/>
      <c r="AD48" s="41"/>
      <c r="AE48" s="41"/>
      <c r="AF48" s="41"/>
      <c r="AG48" s="41"/>
      <c r="AH48" s="41"/>
      <c r="AI48" s="41"/>
      <c r="AJ48" s="41"/>
      <c r="AK48" s="41"/>
      <c r="AL48" s="41"/>
      <c r="AM48" s="41"/>
      <c r="AN48" s="41"/>
      <c r="AO48" s="41"/>
      <c r="AP48" s="41"/>
      <c r="AQ48" s="41"/>
      <c r="AR48" s="41"/>
      <c r="AS48" s="41"/>
      <c r="AT48" s="41"/>
      <c r="AU48" s="41"/>
      <c r="AV48" s="41"/>
      <c r="AW48" s="41"/>
      <c r="AX48" s="41"/>
      <c r="AY48" s="41"/>
      <c r="AZ48" s="42"/>
      <c r="BA48" s="231"/>
      <c r="BB48" s="231"/>
      <c r="BC48" s="231"/>
      <c r="BD48" s="231"/>
      <c r="BE48" s="231"/>
      <c r="BF48" s="231"/>
      <c r="BG48" s="231"/>
      <c r="BH48" s="231"/>
      <c r="BI48" s="231"/>
      <c r="BJ48" s="231"/>
    </row>
    <row r="49" spans="1:62" x14ac:dyDescent="0.15">
      <c r="A49" s="7">
        <v>48</v>
      </c>
      <c r="B49" s="23"/>
      <c r="C49" s="145"/>
      <c r="D49" s="146"/>
      <c r="E49" s="146"/>
      <c r="F49" s="157"/>
      <c r="G49" s="23"/>
      <c r="H49" s="41"/>
      <c r="I49" s="41"/>
      <c r="J49" s="41"/>
      <c r="K49" s="41"/>
      <c r="L49" s="41"/>
      <c r="M49" s="41"/>
      <c r="N49" s="41"/>
      <c r="O49" s="41"/>
      <c r="P49" s="41"/>
      <c r="Q49" s="41"/>
      <c r="R49" s="41"/>
      <c r="S49" s="41"/>
      <c r="T49" s="41"/>
      <c r="U49" s="41"/>
      <c r="V49" s="41"/>
      <c r="W49" s="41"/>
      <c r="X49" s="41"/>
      <c r="Y49" s="41"/>
      <c r="Z49" s="41"/>
      <c r="AA49" s="41"/>
      <c r="AB49" s="41"/>
      <c r="AC49" s="41"/>
      <c r="AD49" s="41"/>
      <c r="AE49" s="41"/>
      <c r="AF49" s="41"/>
      <c r="AG49" s="41"/>
      <c r="AH49" s="41"/>
      <c r="AI49" s="41"/>
      <c r="AJ49" s="41"/>
      <c r="AK49" s="41"/>
      <c r="AL49" s="41"/>
      <c r="AM49" s="41"/>
      <c r="AN49" s="41"/>
      <c r="AO49" s="41"/>
      <c r="AP49" s="41"/>
      <c r="AQ49" s="41"/>
      <c r="AR49" s="41"/>
      <c r="AS49" s="41"/>
      <c r="AT49" s="41"/>
      <c r="AU49" s="41"/>
      <c r="AV49" s="41"/>
      <c r="AW49" s="41"/>
      <c r="AX49" s="41"/>
      <c r="AY49" s="41"/>
      <c r="AZ49" s="42"/>
      <c r="BA49" s="231"/>
      <c r="BB49" s="231"/>
      <c r="BC49" s="231"/>
      <c r="BD49" s="231"/>
      <c r="BE49" s="231"/>
      <c r="BF49" s="231"/>
      <c r="BG49" s="231"/>
      <c r="BH49" s="231"/>
      <c r="BI49" s="231"/>
      <c r="BJ49" s="231"/>
    </row>
    <row r="50" spans="1:62" x14ac:dyDescent="0.15">
      <c r="A50" s="7">
        <v>49</v>
      </c>
      <c r="B50" s="23"/>
      <c r="C50" s="145"/>
      <c r="D50" s="146"/>
      <c r="E50" s="146"/>
      <c r="F50" s="157"/>
      <c r="G50" s="23" t="s">
        <v>135</v>
      </c>
      <c r="H50" s="41"/>
      <c r="I50" s="41"/>
      <c r="J50" s="41"/>
      <c r="K50" s="41"/>
      <c r="L50" s="41"/>
      <c r="M50" s="41"/>
      <c r="N50" s="41"/>
      <c r="O50" s="41"/>
      <c r="P50" s="41"/>
      <c r="Q50" s="41"/>
      <c r="R50" s="41"/>
      <c r="S50" s="41"/>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2"/>
      <c r="BA50" s="231"/>
      <c r="BB50" s="231"/>
      <c r="BC50" s="231"/>
      <c r="BD50" s="231"/>
      <c r="BE50" s="231"/>
      <c r="BF50" s="231"/>
      <c r="BG50" s="231"/>
      <c r="BH50" s="231"/>
      <c r="BI50" s="231"/>
      <c r="BJ50" s="231"/>
    </row>
    <row r="51" spans="1:62" x14ac:dyDescent="0.15">
      <c r="A51" s="7">
        <v>50</v>
      </c>
      <c r="B51" s="23"/>
      <c r="C51" s="145"/>
      <c r="D51" s="146"/>
      <c r="E51" s="146"/>
      <c r="F51" s="157"/>
      <c r="G51" s="23" t="s">
        <v>136</v>
      </c>
      <c r="H51" s="41"/>
      <c r="I51" s="41"/>
      <c r="J51" s="41"/>
      <c r="K51" s="41"/>
      <c r="L51" s="41"/>
      <c r="M51" s="41"/>
      <c r="N51" s="41"/>
      <c r="O51" s="45"/>
      <c r="P51" s="41"/>
      <c r="Q51" s="41"/>
      <c r="R51" s="41"/>
      <c r="S51" s="41"/>
      <c r="T51" s="41"/>
      <c r="U51" s="41"/>
      <c r="V51" s="41"/>
      <c r="W51" s="41"/>
      <c r="X51" s="41"/>
      <c r="Y51" s="41"/>
      <c r="Z51" s="41"/>
      <c r="AA51" s="41"/>
      <c r="AB51" s="41"/>
      <c r="AC51" s="41"/>
      <c r="AD51" s="41"/>
      <c r="AE51" s="41"/>
      <c r="AF51" s="41"/>
      <c r="AG51" s="41"/>
      <c r="AH51" s="41"/>
      <c r="AI51" s="41"/>
      <c r="AJ51" s="41"/>
      <c r="AK51" s="41"/>
      <c r="AL51" s="41"/>
      <c r="AM51" s="41"/>
      <c r="AN51" s="41"/>
      <c r="AO51" s="41"/>
      <c r="AP51" s="41"/>
      <c r="AQ51" s="41"/>
      <c r="AR51" s="41"/>
      <c r="AS51" s="41"/>
      <c r="AT51" s="41"/>
      <c r="AU51" s="41"/>
      <c r="AV51" s="41"/>
      <c r="AW51" s="41"/>
      <c r="AX51" s="41"/>
      <c r="AY51" s="41"/>
      <c r="AZ51" s="42"/>
      <c r="BA51" s="231"/>
      <c r="BB51" s="231"/>
      <c r="BC51" s="231"/>
      <c r="BD51" s="231"/>
      <c r="BE51" s="231"/>
      <c r="BF51" s="231"/>
      <c r="BG51" s="231"/>
      <c r="BH51" s="231"/>
      <c r="BI51" s="231"/>
      <c r="BJ51" s="231"/>
    </row>
    <row r="52" spans="1:62" x14ac:dyDescent="0.15">
      <c r="A52" s="7">
        <v>51</v>
      </c>
      <c r="B52" s="23"/>
      <c r="C52" s="145"/>
      <c r="D52" s="146"/>
      <c r="E52" s="146"/>
      <c r="F52" s="157"/>
      <c r="G52" s="23" t="s">
        <v>137</v>
      </c>
      <c r="H52" s="41"/>
      <c r="I52" s="41"/>
      <c r="J52" s="41"/>
      <c r="K52" s="41"/>
      <c r="L52" s="41"/>
      <c r="M52" s="41"/>
      <c r="N52" s="41"/>
      <c r="O52" s="41"/>
      <c r="P52" s="41"/>
      <c r="Q52" s="41"/>
      <c r="R52" s="41"/>
      <c r="S52" s="41"/>
      <c r="T52" s="41"/>
      <c r="U52" s="41"/>
      <c r="V52" s="41"/>
      <c r="W52" s="41"/>
      <c r="X52" s="41"/>
      <c r="Y52" s="41"/>
      <c r="Z52" s="41"/>
      <c r="AA52" s="41"/>
      <c r="AB52" s="41"/>
      <c r="AC52" s="41"/>
      <c r="AD52" s="41"/>
      <c r="AE52" s="41"/>
      <c r="AF52" s="41"/>
      <c r="AG52" s="41"/>
      <c r="AH52" s="41"/>
      <c r="AI52" s="41"/>
      <c r="AJ52" s="41"/>
      <c r="AK52" s="41"/>
      <c r="AL52" s="41"/>
      <c r="AM52" s="41"/>
      <c r="AN52" s="41"/>
      <c r="AO52" s="41"/>
      <c r="AP52" s="41"/>
      <c r="AQ52" s="41"/>
      <c r="AR52" s="41"/>
      <c r="AS52" s="41"/>
      <c r="AT52" s="41"/>
      <c r="AU52" s="41"/>
      <c r="AV52" s="41"/>
      <c r="AW52" s="41"/>
      <c r="AX52" s="41"/>
      <c r="AY52" s="41"/>
      <c r="AZ52" s="42"/>
      <c r="BA52" s="231"/>
      <c r="BB52" s="231"/>
      <c r="BC52" s="231"/>
      <c r="BD52" s="231"/>
      <c r="BE52" s="231"/>
      <c r="BF52" s="231"/>
      <c r="BG52" s="231"/>
      <c r="BH52" s="231"/>
      <c r="BI52" s="231"/>
      <c r="BJ52" s="231"/>
    </row>
    <row r="53" spans="1:62" x14ac:dyDescent="0.15">
      <c r="A53" s="7">
        <v>52</v>
      </c>
      <c r="B53" s="23"/>
      <c r="C53" s="145"/>
      <c r="D53" s="146"/>
      <c r="E53" s="146"/>
      <c r="F53" s="157"/>
      <c r="G53" s="23" t="s">
        <v>138</v>
      </c>
      <c r="H53" s="41"/>
      <c r="I53" s="41"/>
      <c r="J53" s="41"/>
      <c r="K53" s="41"/>
      <c r="L53" s="41"/>
      <c r="M53" s="41"/>
      <c r="N53" s="41"/>
      <c r="O53" s="41"/>
      <c r="P53" s="41"/>
      <c r="Q53" s="41"/>
      <c r="R53" s="41"/>
      <c r="S53" s="41"/>
      <c r="T53" s="41"/>
      <c r="U53" s="41"/>
      <c r="V53" s="41"/>
      <c r="W53" s="41"/>
      <c r="X53" s="41"/>
      <c r="Y53" s="41"/>
      <c r="Z53" s="41"/>
      <c r="AA53" s="41"/>
      <c r="AB53" s="41"/>
      <c r="AC53" s="41"/>
      <c r="AD53" s="41"/>
      <c r="AE53" s="41"/>
      <c r="AF53" s="41"/>
      <c r="AG53" s="41"/>
      <c r="AH53" s="41"/>
      <c r="AI53" s="41"/>
      <c r="AJ53" s="41"/>
      <c r="AK53" s="41"/>
      <c r="AL53" s="41"/>
      <c r="AM53" s="41"/>
      <c r="AN53" s="41"/>
      <c r="AO53" s="41"/>
      <c r="AP53" s="41"/>
      <c r="AQ53" s="41"/>
      <c r="AR53" s="41"/>
      <c r="AS53" s="41"/>
      <c r="AT53" s="41"/>
      <c r="AU53" s="41"/>
      <c r="AV53" s="41"/>
      <c r="AW53" s="41"/>
      <c r="AX53" s="41"/>
      <c r="AY53" s="41"/>
      <c r="AZ53" s="42"/>
      <c r="BA53" s="231"/>
      <c r="BB53" s="231"/>
      <c r="BC53" s="231"/>
      <c r="BD53" s="231"/>
      <c r="BE53" s="231"/>
      <c r="BF53" s="231"/>
      <c r="BG53" s="231"/>
      <c r="BH53" s="231"/>
      <c r="BI53" s="231"/>
      <c r="BJ53" s="231"/>
    </row>
    <row r="54" spans="1:62" x14ac:dyDescent="0.15">
      <c r="A54" s="7">
        <v>53</v>
      </c>
      <c r="B54" s="23"/>
      <c r="C54" s="145"/>
      <c r="D54" s="146"/>
      <c r="E54" s="146"/>
      <c r="F54" s="157"/>
      <c r="G54" s="23" t="s">
        <v>139</v>
      </c>
      <c r="H54" s="41"/>
      <c r="I54" s="41"/>
      <c r="J54" s="41"/>
      <c r="K54" s="41"/>
      <c r="L54" s="41"/>
      <c r="M54" s="41"/>
      <c r="N54" s="41"/>
      <c r="O54" s="41"/>
      <c r="P54" s="41"/>
      <c r="Q54" s="41"/>
      <c r="R54" s="41"/>
      <c r="S54" s="41"/>
      <c r="T54" s="41"/>
      <c r="U54" s="41"/>
      <c r="V54" s="41"/>
      <c r="W54" s="41"/>
      <c r="X54" s="41"/>
      <c r="Y54" s="41"/>
      <c r="Z54" s="41"/>
      <c r="AA54" s="41"/>
      <c r="AB54" s="41"/>
      <c r="AC54" s="41"/>
      <c r="AD54" s="41"/>
      <c r="AE54" s="41"/>
      <c r="AF54" s="41"/>
      <c r="AG54" s="41"/>
      <c r="AH54" s="41"/>
      <c r="AI54" s="41"/>
      <c r="AJ54" s="41"/>
      <c r="AK54" s="41"/>
      <c r="AL54" s="41"/>
      <c r="AM54" s="41"/>
      <c r="AN54" s="41"/>
      <c r="AO54" s="41"/>
      <c r="AP54" s="41"/>
      <c r="AQ54" s="41"/>
      <c r="AR54" s="41"/>
      <c r="AS54" s="41"/>
      <c r="AT54" s="41"/>
      <c r="AU54" s="41"/>
      <c r="AV54" s="41"/>
      <c r="AW54" s="41"/>
      <c r="AX54" s="41"/>
      <c r="AY54" s="41"/>
      <c r="AZ54" s="42"/>
      <c r="BA54" s="231"/>
      <c r="BB54" s="231"/>
      <c r="BC54" s="231"/>
      <c r="BD54" s="231"/>
      <c r="BE54" s="231"/>
      <c r="BF54" s="231"/>
      <c r="BG54" s="231"/>
      <c r="BH54" s="231"/>
      <c r="BI54" s="231"/>
      <c r="BJ54" s="231"/>
    </row>
    <row r="55" spans="1:62" x14ac:dyDescent="0.15">
      <c r="A55" s="7">
        <v>54</v>
      </c>
      <c r="B55" s="23"/>
      <c r="C55" s="145"/>
      <c r="D55" s="146"/>
      <c r="E55" s="146"/>
      <c r="F55" s="157"/>
      <c r="G55" s="23" t="s">
        <v>140</v>
      </c>
      <c r="H55" s="41"/>
      <c r="I55" s="41"/>
      <c r="J55" s="41"/>
      <c r="K55" s="41"/>
      <c r="L55" s="41"/>
      <c r="M55" s="41"/>
      <c r="N55" s="41"/>
      <c r="O55" s="41"/>
      <c r="P55" s="41"/>
      <c r="Q55" s="41"/>
      <c r="R55" s="41"/>
      <c r="S55" s="41"/>
      <c r="T55" s="41"/>
      <c r="U55" s="41"/>
      <c r="V55" s="41"/>
      <c r="W55" s="41"/>
      <c r="X55" s="41"/>
      <c r="Y55" s="41"/>
      <c r="Z55" s="41"/>
      <c r="AA55" s="41"/>
      <c r="AB55" s="41"/>
      <c r="AC55" s="41"/>
      <c r="AD55" s="41"/>
      <c r="AE55" s="41"/>
      <c r="AF55" s="41"/>
      <c r="AG55" s="41"/>
      <c r="AH55" s="41"/>
      <c r="AI55" s="41"/>
      <c r="AJ55" s="41"/>
      <c r="AK55" s="41"/>
      <c r="AL55" s="41"/>
      <c r="AM55" s="41"/>
      <c r="AN55" s="41"/>
      <c r="AO55" s="41"/>
      <c r="AP55" s="41"/>
      <c r="AQ55" s="41"/>
      <c r="AR55" s="41"/>
      <c r="AS55" s="41"/>
      <c r="AT55" s="41"/>
      <c r="AU55" s="41"/>
      <c r="AV55" s="41"/>
      <c r="AW55" s="41"/>
      <c r="AX55" s="41"/>
      <c r="AY55" s="41"/>
      <c r="AZ55" s="42"/>
      <c r="BA55" s="231"/>
      <c r="BB55" s="231"/>
      <c r="BC55" s="231"/>
      <c r="BD55" s="231"/>
      <c r="BE55" s="231"/>
      <c r="BF55" s="231"/>
      <c r="BG55" s="231"/>
      <c r="BH55" s="231"/>
      <c r="BI55" s="231"/>
      <c r="BJ55" s="231"/>
    </row>
    <row r="56" spans="1:62" x14ac:dyDescent="0.15">
      <c r="A56" s="7">
        <v>55</v>
      </c>
      <c r="B56" s="23"/>
      <c r="C56" s="145"/>
      <c r="D56" s="146"/>
      <c r="E56" s="146"/>
      <c r="F56" s="157"/>
      <c r="G56" s="23" t="s">
        <v>142</v>
      </c>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2"/>
      <c r="BA56" s="231"/>
      <c r="BB56" s="231"/>
      <c r="BC56" s="231"/>
      <c r="BD56" s="231"/>
      <c r="BE56" s="231"/>
      <c r="BF56" s="231"/>
      <c r="BG56" s="231"/>
      <c r="BH56" s="231"/>
      <c r="BI56" s="231"/>
      <c r="BJ56" s="231"/>
    </row>
    <row r="57" spans="1:62" x14ac:dyDescent="0.15">
      <c r="A57" s="7">
        <v>56</v>
      </c>
      <c r="B57" s="23"/>
      <c r="C57" s="145"/>
      <c r="D57" s="146"/>
      <c r="E57" s="146"/>
      <c r="F57" s="157"/>
      <c r="G57" s="23" t="s">
        <v>141</v>
      </c>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2"/>
      <c r="BA57" s="231"/>
      <c r="BB57" s="231"/>
      <c r="BC57" s="231"/>
      <c r="BD57" s="231"/>
      <c r="BE57" s="231"/>
      <c r="BF57" s="231"/>
      <c r="BG57" s="231"/>
      <c r="BH57" s="231"/>
      <c r="BI57" s="231"/>
      <c r="BJ57" s="231"/>
    </row>
    <row r="58" spans="1:62" x14ac:dyDescent="0.15">
      <c r="A58" s="7">
        <v>57</v>
      </c>
      <c r="B58" s="23"/>
      <c r="C58" s="145"/>
      <c r="D58" s="146"/>
      <c r="E58" s="146"/>
      <c r="F58" s="157"/>
      <c r="G58" s="23"/>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2"/>
      <c r="BA58" s="231"/>
      <c r="BB58" s="231"/>
      <c r="BC58" s="231"/>
      <c r="BD58" s="231"/>
      <c r="BE58" s="231"/>
      <c r="BF58" s="231"/>
      <c r="BG58" s="231"/>
      <c r="BH58" s="231"/>
      <c r="BI58" s="231"/>
      <c r="BJ58" s="231"/>
    </row>
    <row r="59" spans="1:62" x14ac:dyDescent="0.15">
      <c r="A59" s="7">
        <v>58</v>
      </c>
      <c r="B59" s="23"/>
      <c r="C59" s="145"/>
      <c r="D59" s="146"/>
      <c r="E59" s="146"/>
      <c r="F59" s="157"/>
      <c r="G59" s="23" t="s">
        <v>154</v>
      </c>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2"/>
      <c r="BA59" s="231"/>
      <c r="BB59" s="231"/>
      <c r="BC59" s="231"/>
      <c r="BD59" s="231"/>
      <c r="BE59" s="231"/>
      <c r="BF59" s="231"/>
      <c r="BG59" s="231"/>
      <c r="BH59" s="231"/>
      <c r="BI59" s="231"/>
      <c r="BJ59" s="231"/>
    </row>
    <row r="60" spans="1:62" x14ac:dyDescent="0.15">
      <c r="A60" s="7">
        <v>59</v>
      </c>
      <c r="B60" s="24"/>
      <c r="C60" s="36"/>
      <c r="D60" s="37"/>
      <c r="E60" s="37"/>
      <c r="F60" s="38"/>
      <c r="G60" s="24"/>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79"/>
      <c r="BA60" s="232"/>
      <c r="BB60" s="232"/>
      <c r="BC60" s="232"/>
      <c r="BD60" s="232"/>
      <c r="BE60" s="232"/>
      <c r="BF60" s="232"/>
      <c r="BG60" s="232"/>
      <c r="BH60" s="232"/>
      <c r="BI60" s="232"/>
      <c r="BJ60" s="232"/>
    </row>
    <row r="61" spans="1:62" x14ac:dyDescent="0.15">
      <c r="A61" s="7">
        <v>60</v>
      </c>
      <c r="B61" s="77"/>
      <c r="C61" s="25" t="s">
        <v>4</v>
      </c>
      <c r="D61" s="25"/>
      <c r="E61" s="26"/>
      <c r="F61" s="27"/>
      <c r="G61" s="25"/>
      <c r="H61" s="25"/>
      <c r="I61" s="25"/>
      <c r="J61" s="25"/>
      <c r="K61" s="25"/>
      <c r="L61" s="25"/>
      <c r="M61" s="25" t="s">
        <v>5</v>
      </c>
      <c r="N61" s="25"/>
      <c r="O61" s="25"/>
      <c r="P61" s="25"/>
      <c r="Q61" s="25"/>
      <c r="R61" s="25"/>
      <c r="S61" s="25"/>
      <c r="T61" s="25"/>
      <c r="U61" s="25"/>
      <c r="V61" s="25"/>
      <c r="W61" s="25"/>
      <c r="X61" s="25"/>
      <c r="Y61" s="25"/>
      <c r="Z61" s="26"/>
      <c r="AA61" s="27"/>
      <c r="AB61" s="25"/>
      <c r="AC61" s="28" t="s">
        <v>6</v>
      </c>
      <c r="AD61" s="29"/>
      <c r="AE61" s="30"/>
      <c r="AF61" s="27"/>
      <c r="AG61" s="25"/>
      <c r="AH61" s="25" t="s">
        <v>7</v>
      </c>
      <c r="AI61" s="25"/>
      <c r="AJ61" s="26"/>
      <c r="AK61" s="27"/>
      <c r="AL61" s="25" t="s">
        <v>8</v>
      </c>
      <c r="AM61" s="25"/>
      <c r="AN61" s="25"/>
      <c r="AO61" s="26"/>
      <c r="AP61" s="27" t="s">
        <v>9</v>
      </c>
      <c r="AQ61" s="25"/>
      <c r="AR61" s="25"/>
      <c r="AS61" s="25"/>
      <c r="AT61" s="26"/>
      <c r="AU61" s="31" t="s">
        <v>10</v>
      </c>
      <c r="AV61" s="31"/>
      <c r="AW61" s="31"/>
      <c r="AX61" s="32"/>
      <c r="AY61" s="31"/>
      <c r="AZ61" s="32"/>
      <c r="BA61" s="31"/>
      <c r="BB61" s="32"/>
      <c r="BC61" s="32"/>
      <c r="BD61" s="32"/>
      <c r="BE61" s="32"/>
      <c r="BF61" s="32"/>
      <c r="BG61" s="32"/>
      <c r="BH61" s="32"/>
      <c r="BI61" s="31"/>
      <c r="BJ61" s="33"/>
    </row>
    <row r="62" spans="1:62" x14ac:dyDescent="0.15">
      <c r="A62" s="7">
        <v>61</v>
      </c>
      <c r="B62" s="21"/>
      <c r="C62" s="9"/>
      <c r="D62" s="9"/>
      <c r="E62" s="10"/>
      <c r="F62" s="34"/>
      <c r="G62" s="9"/>
      <c r="H62" s="9"/>
      <c r="I62" s="9"/>
      <c r="J62" s="9"/>
      <c r="K62" s="9"/>
      <c r="L62" s="9"/>
      <c r="M62" s="9"/>
      <c r="N62" s="9"/>
      <c r="O62" s="9"/>
      <c r="P62" s="9"/>
      <c r="Q62" s="9"/>
      <c r="R62" s="9"/>
      <c r="S62" s="9"/>
      <c r="T62" s="9"/>
      <c r="U62" s="9"/>
      <c r="V62" s="9"/>
      <c r="W62" s="9"/>
      <c r="X62" s="9"/>
      <c r="Y62" s="9"/>
      <c r="Z62" s="10"/>
      <c r="AA62" s="34"/>
      <c r="AB62" s="9"/>
      <c r="AC62" s="9"/>
      <c r="AD62" s="9"/>
      <c r="AE62" s="10"/>
      <c r="AF62" s="34"/>
      <c r="AG62" s="9"/>
      <c r="AH62" s="9"/>
      <c r="AI62" s="9"/>
      <c r="AJ62" s="10"/>
      <c r="AK62" s="34"/>
      <c r="AL62" s="9"/>
      <c r="AM62" s="9"/>
      <c r="AN62" s="9"/>
      <c r="AO62" s="10"/>
      <c r="AP62" s="34"/>
      <c r="AQ62" s="9"/>
      <c r="AR62" s="9"/>
      <c r="AS62" s="9"/>
      <c r="AT62" s="10"/>
      <c r="AU62" s="11"/>
      <c r="AV62" s="11"/>
      <c r="AW62" s="11"/>
      <c r="AX62" s="11"/>
      <c r="AY62" s="11"/>
      <c r="AZ62" s="11"/>
      <c r="BA62" s="11"/>
      <c r="BB62" s="11"/>
      <c r="BC62" s="11"/>
      <c r="BD62" s="11"/>
      <c r="BE62" s="11"/>
      <c r="BF62" s="11"/>
      <c r="BG62" s="11"/>
      <c r="BH62" s="11"/>
      <c r="BI62" s="11"/>
      <c r="BJ62" s="22"/>
    </row>
    <row r="63" spans="1:62" x14ac:dyDescent="0.15">
      <c r="A63" s="7">
        <v>62</v>
      </c>
      <c r="B63" s="21"/>
      <c r="C63" s="9"/>
      <c r="D63" s="9"/>
      <c r="E63" s="10"/>
      <c r="F63" s="34"/>
      <c r="G63" s="9"/>
      <c r="H63" s="9"/>
      <c r="I63" s="9"/>
      <c r="J63" s="9"/>
      <c r="K63" s="9"/>
      <c r="L63" s="9"/>
      <c r="M63" s="9"/>
      <c r="N63" s="9"/>
      <c r="O63" s="9"/>
      <c r="P63" s="9"/>
      <c r="Q63" s="9"/>
      <c r="R63" s="9"/>
      <c r="S63" s="9"/>
      <c r="T63" s="9"/>
      <c r="U63" s="9"/>
      <c r="V63" s="9"/>
      <c r="W63" s="9"/>
      <c r="X63" s="9"/>
      <c r="Y63" s="9"/>
      <c r="Z63" s="10"/>
      <c r="AA63" s="34"/>
      <c r="AB63" s="9"/>
      <c r="AC63" s="9"/>
      <c r="AD63" s="9"/>
      <c r="AE63" s="10"/>
      <c r="AF63" s="34"/>
      <c r="AG63" s="9"/>
      <c r="AH63" s="9"/>
      <c r="AI63" s="9"/>
      <c r="AJ63" s="10"/>
      <c r="AK63" s="34"/>
      <c r="AL63" s="9"/>
      <c r="AM63" s="9"/>
      <c r="AN63" s="9"/>
      <c r="AO63" s="10"/>
      <c r="AP63" s="34"/>
      <c r="AQ63" s="9"/>
      <c r="AR63" s="9"/>
      <c r="AS63" s="9"/>
      <c r="AT63" s="10"/>
      <c r="AU63" s="11"/>
      <c r="AV63" s="138">
        <f>AV5</f>
        <v>0</v>
      </c>
      <c r="AW63" s="138"/>
      <c r="AX63" s="138"/>
      <c r="AY63" s="138"/>
      <c r="AZ63" s="138"/>
      <c r="BA63" s="138"/>
      <c r="BB63" s="138"/>
      <c r="BC63" s="138"/>
      <c r="BD63" s="138"/>
      <c r="BE63" s="138"/>
      <c r="BF63" s="138"/>
      <c r="BG63" s="138"/>
      <c r="BH63" s="138"/>
      <c r="BI63" s="138"/>
      <c r="BJ63" s="22"/>
    </row>
    <row r="64" spans="1:62" x14ac:dyDescent="0.15">
      <c r="A64" s="7">
        <v>63</v>
      </c>
      <c r="B64" s="21"/>
      <c r="C64" s="9"/>
      <c r="D64" s="9"/>
      <c r="E64" s="10"/>
      <c r="F64" s="34"/>
      <c r="G64" s="9"/>
      <c r="H64" s="9"/>
      <c r="I64" s="9"/>
      <c r="J64" s="9"/>
      <c r="K64" s="9"/>
      <c r="L64" s="9"/>
      <c r="M64" s="9"/>
      <c r="N64" s="9"/>
      <c r="O64" s="9"/>
      <c r="P64" s="9"/>
      <c r="Q64" s="9"/>
      <c r="R64" s="9"/>
      <c r="S64" s="9"/>
      <c r="T64" s="9"/>
      <c r="U64" s="9"/>
      <c r="V64" s="9"/>
      <c r="W64" s="9"/>
      <c r="X64" s="9"/>
      <c r="Y64" s="9"/>
      <c r="Z64" s="10"/>
      <c r="AA64" s="34"/>
      <c r="AB64" s="9"/>
      <c r="AC64" s="9"/>
      <c r="AD64" s="9"/>
      <c r="AE64" s="10"/>
      <c r="AF64" s="34"/>
      <c r="AG64" s="9"/>
      <c r="AH64" s="9"/>
      <c r="AI64" s="9"/>
      <c r="AJ64" s="10"/>
      <c r="AK64" s="34"/>
      <c r="AL64" s="9"/>
      <c r="AM64" s="9"/>
      <c r="AN64" s="9"/>
      <c r="AO64" s="10"/>
      <c r="AP64" s="34"/>
      <c r="AQ64" s="9"/>
      <c r="AR64" s="9"/>
      <c r="AS64" s="9"/>
      <c r="AT64" s="10"/>
      <c r="AU64" s="9"/>
      <c r="AV64" s="9"/>
      <c r="AW64" s="9"/>
      <c r="AX64" s="9"/>
      <c r="AY64" s="9"/>
      <c r="AZ64" s="9"/>
      <c r="BA64" s="9"/>
      <c r="BB64" s="9"/>
      <c r="BC64" s="9"/>
      <c r="BD64" s="9"/>
      <c r="BE64" s="9"/>
      <c r="BF64" s="9"/>
      <c r="BG64" s="9"/>
      <c r="BH64" s="9"/>
      <c r="BI64" s="9"/>
      <c r="BJ64" s="15"/>
    </row>
    <row r="65" spans="1:62" x14ac:dyDescent="0.15">
      <c r="A65" s="7">
        <v>64</v>
      </c>
      <c r="B65" s="78"/>
      <c r="C65" s="17"/>
      <c r="D65" s="17"/>
      <c r="E65" s="18"/>
      <c r="F65" s="35"/>
      <c r="G65" s="17"/>
      <c r="H65" s="17"/>
      <c r="I65" s="17"/>
      <c r="J65" s="17"/>
      <c r="K65" s="17"/>
      <c r="L65" s="17"/>
      <c r="M65" s="17"/>
      <c r="N65" s="17"/>
      <c r="O65" s="17"/>
      <c r="P65" s="17"/>
      <c r="Q65" s="17"/>
      <c r="R65" s="17"/>
      <c r="S65" s="17"/>
      <c r="T65" s="17"/>
      <c r="U65" s="17"/>
      <c r="V65" s="17"/>
      <c r="W65" s="17"/>
      <c r="X65" s="17"/>
      <c r="Y65" s="17"/>
      <c r="Z65" s="18"/>
      <c r="AA65" s="35"/>
      <c r="AB65" s="17"/>
      <c r="AC65" s="17"/>
      <c r="AD65" s="17"/>
      <c r="AE65" s="18"/>
      <c r="AF65" s="35"/>
      <c r="AG65" s="17"/>
      <c r="AH65" s="17"/>
      <c r="AI65" s="17"/>
      <c r="AJ65" s="18"/>
      <c r="AK65" s="35"/>
      <c r="AL65" s="17"/>
      <c r="AM65" s="17"/>
      <c r="AN65" s="17"/>
      <c r="AO65" s="18"/>
      <c r="AP65" s="35"/>
      <c r="AQ65" s="17"/>
      <c r="AR65" s="17"/>
      <c r="AS65" s="17"/>
      <c r="AT65" s="18"/>
      <c r="AU65" s="127" t="s">
        <v>17</v>
      </c>
      <c r="AV65" s="110"/>
      <c r="AW65" s="110"/>
      <c r="AX65" s="110"/>
      <c r="AY65" s="110">
        <v>11</v>
      </c>
      <c r="AZ65" s="110"/>
      <c r="BA65" s="110"/>
      <c r="BB65" s="110" t="s">
        <v>11</v>
      </c>
      <c r="BC65" s="110"/>
      <c r="BD65" s="110"/>
      <c r="BE65" s="110"/>
      <c r="BF65" s="110"/>
      <c r="BG65" s="110"/>
      <c r="BH65" s="110"/>
      <c r="BI65" s="110"/>
      <c r="BJ65" s="20"/>
    </row>
  </sheetData>
  <mergeCells count="162">
    <mergeCell ref="BF33:BJ33"/>
    <mergeCell ref="BF34:BJ34"/>
    <mergeCell ref="BF37:BJ37"/>
    <mergeCell ref="BF38:BJ38"/>
    <mergeCell ref="BF41:BJ41"/>
    <mergeCell ref="BF42:BJ42"/>
    <mergeCell ref="BA33:BE33"/>
    <mergeCell ref="BA34:BE34"/>
    <mergeCell ref="BA37:BE37"/>
    <mergeCell ref="BA38:BE38"/>
    <mergeCell ref="BA41:BE41"/>
    <mergeCell ref="BA42:BE42"/>
    <mergeCell ref="BA60:BE60"/>
    <mergeCell ref="BF60:BJ60"/>
    <mergeCell ref="AV63:BI63"/>
    <mergeCell ref="AU65:AX65"/>
    <mergeCell ref="AY65:BA65"/>
    <mergeCell ref="BB65:BD65"/>
    <mergeCell ref="BE65:BI65"/>
    <mergeCell ref="C59:F59"/>
    <mergeCell ref="BA59:BE59"/>
    <mergeCell ref="BF59:BJ59"/>
    <mergeCell ref="C58:F58"/>
    <mergeCell ref="BA58:BE58"/>
    <mergeCell ref="BF58:BJ58"/>
    <mergeCell ref="C56:F56"/>
    <mergeCell ref="BA56:BE56"/>
    <mergeCell ref="BF56:BJ56"/>
    <mergeCell ref="C57:F57"/>
    <mergeCell ref="BA57:BE57"/>
    <mergeCell ref="BF57:BJ57"/>
    <mergeCell ref="C55:F55"/>
    <mergeCell ref="BA55:BE55"/>
    <mergeCell ref="BF55:BJ55"/>
    <mergeCell ref="C53:F53"/>
    <mergeCell ref="BA53:BE53"/>
    <mergeCell ref="BF53:BJ53"/>
    <mergeCell ref="C54:F54"/>
    <mergeCell ref="BA54:BE54"/>
    <mergeCell ref="BF54:BJ54"/>
    <mergeCell ref="C51:F51"/>
    <mergeCell ref="BA51:BE51"/>
    <mergeCell ref="BF51:BJ51"/>
    <mergeCell ref="C52:F52"/>
    <mergeCell ref="BA52:BE52"/>
    <mergeCell ref="BF52:BJ52"/>
    <mergeCell ref="C48:F48"/>
    <mergeCell ref="BA48:BE48"/>
    <mergeCell ref="BF48:BJ48"/>
    <mergeCell ref="C50:F50"/>
    <mergeCell ref="BA50:BE50"/>
    <mergeCell ref="BF50:BJ50"/>
    <mergeCell ref="C49:F49"/>
    <mergeCell ref="BA49:BE49"/>
    <mergeCell ref="BF49:BJ49"/>
    <mergeCell ref="C44:F44"/>
    <mergeCell ref="BA44:BE44"/>
    <mergeCell ref="BF44:BJ44"/>
    <mergeCell ref="C47:F47"/>
    <mergeCell ref="BA47:BE47"/>
    <mergeCell ref="BF47:BJ47"/>
    <mergeCell ref="BA45:BE45"/>
    <mergeCell ref="BA46:BE46"/>
    <mergeCell ref="BF45:BJ45"/>
    <mergeCell ref="BF46:BJ46"/>
    <mergeCell ref="C40:F40"/>
    <mergeCell ref="BA40:BE40"/>
    <mergeCell ref="BF40:BJ40"/>
    <mergeCell ref="C43:F43"/>
    <mergeCell ref="BA43:BE43"/>
    <mergeCell ref="BF43:BJ43"/>
    <mergeCell ref="BA35:BE35"/>
    <mergeCell ref="BF35:BJ35"/>
    <mergeCell ref="C36:F36"/>
    <mergeCell ref="BA36:BE36"/>
    <mergeCell ref="BF36:BJ36"/>
    <mergeCell ref="C39:F39"/>
    <mergeCell ref="BA39:BE39"/>
    <mergeCell ref="BF39:BJ39"/>
    <mergeCell ref="BA29:BE29"/>
    <mergeCell ref="BF29:BJ29"/>
    <mergeCell ref="BA31:BE31"/>
    <mergeCell ref="BF31:BJ31"/>
    <mergeCell ref="BA32:BE32"/>
    <mergeCell ref="BF32:BJ32"/>
    <mergeCell ref="BA30:BE30"/>
    <mergeCell ref="BF30:BJ30"/>
    <mergeCell ref="C26:F26"/>
    <mergeCell ref="BA26:BE26"/>
    <mergeCell ref="BF26:BJ26"/>
    <mergeCell ref="BA27:BE27"/>
    <mergeCell ref="BF27:BJ27"/>
    <mergeCell ref="BA28:BE28"/>
    <mergeCell ref="BF28:BJ28"/>
    <mergeCell ref="C24:F24"/>
    <mergeCell ref="BA24:BE24"/>
    <mergeCell ref="BF24:BJ24"/>
    <mergeCell ref="C25:F25"/>
    <mergeCell ref="BA25:BE25"/>
    <mergeCell ref="BF25:BJ25"/>
    <mergeCell ref="C22:F22"/>
    <mergeCell ref="BA22:BE22"/>
    <mergeCell ref="BF22:BJ22"/>
    <mergeCell ref="C23:F23"/>
    <mergeCell ref="BA23:BE23"/>
    <mergeCell ref="BF23:BJ23"/>
    <mergeCell ref="C20:F20"/>
    <mergeCell ref="BA20:BE20"/>
    <mergeCell ref="BF20:BJ20"/>
    <mergeCell ref="C21:F21"/>
    <mergeCell ref="BA21:BE21"/>
    <mergeCell ref="BF21:BJ21"/>
    <mergeCell ref="C18:F18"/>
    <mergeCell ref="BA18:BE18"/>
    <mergeCell ref="BF18:BJ18"/>
    <mergeCell ref="C19:F19"/>
    <mergeCell ref="BA19:BE19"/>
    <mergeCell ref="BF19:BJ19"/>
    <mergeCell ref="C16:F16"/>
    <mergeCell ref="BA16:BE16"/>
    <mergeCell ref="BF16:BJ16"/>
    <mergeCell ref="C17:F17"/>
    <mergeCell ref="BA17:BE17"/>
    <mergeCell ref="BF17:BJ17"/>
    <mergeCell ref="C14:F14"/>
    <mergeCell ref="BA14:BE14"/>
    <mergeCell ref="BF14:BJ14"/>
    <mergeCell ref="C15:F15"/>
    <mergeCell ref="BA15:BE15"/>
    <mergeCell ref="BF15:BJ15"/>
    <mergeCell ref="C12:F12"/>
    <mergeCell ref="BA12:BE12"/>
    <mergeCell ref="BF12:BJ12"/>
    <mergeCell ref="C13:F13"/>
    <mergeCell ref="BA13:BE13"/>
    <mergeCell ref="BF13:BJ13"/>
    <mergeCell ref="C10:F10"/>
    <mergeCell ref="BA10:BE10"/>
    <mergeCell ref="BF10:BJ10"/>
    <mergeCell ref="C11:F11"/>
    <mergeCell ref="BA11:BE11"/>
    <mergeCell ref="BF11:BJ11"/>
    <mergeCell ref="C9:F9"/>
    <mergeCell ref="BA9:BE9"/>
    <mergeCell ref="BF9:BJ9"/>
    <mergeCell ref="AX7:BJ7"/>
    <mergeCell ref="B5:F5"/>
    <mergeCell ref="G5:U5"/>
    <mergeCell ref="B6:F6"/>
    <mergeCell ref="G6:U6"/>
    <mergeCell ref="AX5:BJ5"/>
    <mergeCell ref="AX6:BJ6"/>
    <mergeCell ref="B2:F2"/>
    <mergeCell ref="G2:U2"/>
    <mergeCell ref="AN2:BI4"/>
    <mergeCell ref="B3:F3"/>
    <mergeCell ref="G3:U3"/>
    <mergeCell ref="B4:F4"/>
    <mergeCell ref="G4:U4"/>
    <mergeCell ref="C8:F8"/>
    <mergeCell ref="BA8:BE8"/>
    <mergeCell ref="BF8:BJ8"/>
  </mergeCells>
  <phoneticPr fontId="1" type="noConversion"/>
  <printOptions horizontalCentered="1" verticalCentered="1"/>
  <pageMargins left="0.55118110236220474" right="0.35433070866141736" top="0.59055118110236227" bottom="0.39370078740157483" header="0.11811023622047245" footer="0.11811023622047245"/>
  <pageSetup paperSize="9" scale="97" orientation="portrait" r:id="rId1"/>
  <headerFooter alignWithMargins="0">
    <oddFooter>&amp;R&amp;8&amp;F</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20FBA-D93F-4D19-8CBF-250863AB0476}">
  <sheetPr>
    <pageSetUpPr fitToPage="1"/>
  </sheetPr>
  <dimension ref="A2:EB65"/>
  <sheetViews>
    <sheetView showGridLines="0" zoomScale="99" zoomScaleNormal="112" zoomScaleSheetLayoutView="100" workbookViewId="0">
      <selection activeCell="BW41" sqref="BW41:CA41"/>
    </sheetView>
  </sheetViews>
  <sheetFormatPr baseColWidth="10" defaultColWidth="9.1640625" defaultRowHeight="13" x14ac:dyDescent="0.15"/>
  <cols>
    <col min="1" max="2" width="2.83203125" style="7" customWidth="1"/>
    <col min="3" max="9" width="1.6640625" style="7" customWidth="1"/>
    <col min="10" max="10" width="2" style="7" customWidth="1"/>
    <col min="11" max="132" width="1.6640625" style="7" customWidth="1"/>
    <col min="133" max="16384" width="9.1640625" style="7"/>
  </cols>
  <sheetData>
    <row r="2" spans="1:132" ht="12.75" customHeight="1" x14ac:dyDescent="0.15">
      <c r="A2" s="52">
        <v>1</v>
      </c>
      <c r="B2" s="204" t="s">
        <v>16</v>
      </c>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c r="AC2" s="205"/>
      <c r="AD2" s="205"/>
      <c r="AE2" s="205"/>
      <c r="AF2" s="205"/>
      <c r="AG2" s="205"/>
      <c r="AH2" s="205"/>
      <c r="AI2" s="205"/>
      <c r="AJ2" s="205"/>
      <c r="AK2" s="205"/>
      <c r="AL2" s="205"/>
      <c r="AM2" s="205"/>
      <c r="AN2" s="205"/>
      <c r="AO2" s="205"/>
      <c r="AP2" s="205"/>
      <c r="AQ2" s="205"/>
      <c r="AR2" s="205"/>
      <c r="AS2" s="205"/>
      <c r="AT2" s="205"/>
      <c r="AU2" s="205"/>
      <c r="AV2" s="205"/>
      <c r="AW2" s="205"/>
      <c r="AX2" s="205"/>
      <c r="AY2" s="205"/>
      <c r="AZ2" s="205"/>
      <c r="BA2" s="205"/>
      <c r="BB2" s="205"/>
      <c r="BC2" s="205"/>
      <c r="BD2" s="205"/>
      <c r="BE2" s="205"/>
      <c r="BF2" s="205"/>
      <c r="BG2" s="205"/>
      <c r="BH2" s="205"/>
      <c r="BI2" s="205"/>
      <c r="BJ2" s="205"/>
      <c r="BK2" s="205"/>
      <c r="BL2" s="205"/>
      <c r="BM2" s="205"/>
      <c r="BN2" s="205"/>
      <c r="BO2" s="205"/>
      <c r="BP2" s="205"/>
      <c r="BQ2" s="205"/>
      <c r="BR2" s="205"/>
      <c r="BS2" s="206"/>
      <c r="BT2" s="213" t="s">
        <v>0</v>
      </c>
      <c r="BU2" s="214"/>
      <c r="BV2" s="214"/>
      <c r="BW2" s="214"/>
      <c r="BX2" s="214"/>
      <c r="BY2" s="148" t="s">
        <v>40</v>
      </c>
      <c r="BZ2" s="148"/>
      <c r="CA2" s="148"/>
      <c r="CB2" s="148"/>
      <c r="CC2" s="148"/>
      <c r="CD2" s="148"/>
      <c r="CE2" s="148"/>
      <c r="CF2" s="148"/>
      <c r="CG2" s="148"/>
      <c r="CH2" s="148"/>
      <c r="CI2" s="148"/>
      <c r="CJ2" s="148"/>
      <c r="CK2" s="148"/>
      <c r="CL2" s="148"/>
      <c r="CM2" s="148"/>
      <c r="CN2" s="3"/>
      <c r="CO2" s="4"/>
      <c r="CP2" s="4"/>
      <c r="CQ2" s="4"/>
      <c r="CR2" s="4"/>
      <c r="CS2" s="4"/>
      <c r="CT2" s="4"/>
      <c r="CU2" s="4"/>
      <c r="CV2" s="4"/>
      <c r="CW2" s="4"/>
      <c r="CX2" s="4"/>
      <c r="CY2" s="4"/>
      <c r="CZ2" s="4"/>
      <c r="DA2" s="4"/>
      <c r="DB2" s="4"/>
      <c r="DC2" s="4"/>
      <c r="DD2" s="5"/>
      <c r="DE2" s="4"/>
      <c r="DF2" s="108" t="s">
        <v>12</v>
      </c>
      <c r="DG2" s="108"/>
      <c r="DH2" s="108"/>
      <c r="DI2" s="108"/>
      <c r="DJ2" s="108"/>
      <c r="DK2" s="108"/>
      <c r="DL2" s="108"/>
      <c r="DM2" s="108"/>
      <c r="DN2" s="108"/>
      <c r="DO2" s="108"/>
      <c r="DP2" s="108"/>
      <c r="DQ2" s="108"/>
      <c r="DR2" s="108"/>
      <c r="DS2" s="108"/>
      <c r="DT2" s="108"/>
      <c r="DU2" s="108"/>
      <c r="DV2" s="108"/>
      <c r="DW2" s="108"/>
      <c r="DX2" s="108"/>
      <c r="DY2" s="108"/>
      <c r="DZ2" s="108"/>
      <c r="EA2" s="108"/>
      <c r="EB2" s="6"/>
    </row>
    <row r="3" spans="1:132" ht="12.75" customHeight="1" x14ac:dyDescent="0.15">
      <c r="A3" s="53">
        <v>2</v>
      </c>
      <c r="B3" s="207"/>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208"/>
      <c r="AI3" s="208"/>
      <c r="AJ3" s="208"/>
      <c r="AK3" s="208"/>
      <c r="AL3" s="208"/>
      <c r="AM3" s="208"/>
      <c r="AN3" s="208"/>
      <c r="AO3" s="208"/>
      <c r="AP3" s="208"/>
      <c r="AQ3" s="208"/>
      <c r="AR3" s="208"/>
      <c r="AS3" s="208"/>
      <c r="AT3" s="208"/>
      <c r="AU3" s="208"/>
      <c r="AV3" s="208"/>
      <c r="AW3" s="208"/>
      <c r="AX3" s="208"/>
      <c r="AY3" s="208"/>
      <c r="AZ3" s="208"/>
      <c r="BA3" s="208"/>
      <c r="BB3" s="208"/>
      <c r="BC3" s="208"/>
      <c r="BD3" s="208"/>
      <c r="BE3" s="208"/>
      <c r="BF3" s="208"/>
      <c r="BG3" s="208"/>
      <c r="BH3" s="208"/>
      <c r="BI3" s="208"/>
      <c r="BJ3" s="208"/>
      <c r="BK3" s="208"/>
      <c r="BL3" s="208"/>
      <c r="BM3" s="208"/>
      <c r="BN3" s="208"/>
      <c r="BO3" s="208"/>
      <c r="BP3" s="208"/>
      <c r="BQ3" s="208"/>
      <c r="BR3" s="208"/>
      <c r="BS3" s="209"/>
      <c r="BT3" s="198" t="s">
        <v>1</v>
      </c>
      <c r="BU3" s="199"/>
      <c r="BV3" s="199"/>
      <c r="BW3" s="199"/>
      <c r="BX3" s="199"/>
      <c r="BY3" s="123" t="s">
        <v>41</v>
      </c>
      <c r="BZ3" s="123"/>
      <c r="CA3" s="123"/>
      <c r="CB3" s="123"/>
      <c r="CC3" s="123"/>
      <c r="CD3" s="123"/>
      <c r="CE3" s="123"/>
      <c r="CF3" s="123"/>
      <c r="CG3" s="123"/>
      <c r="CH3" s="123"/>
      <c r="CI3" s="123"/>
      <c r="CJ3" s="123"/>
      <c r="CK3" s="123"/>
      <c r="CL3" s="123"/>
      <c r="CM3" s="123"/>
      <c r="CN3" s="10"/>
      <c r="CO3" s="11"/>
      <c r="CP3" s="11"/>
      <c r="CQ3" s="11"/>
      <c r="CR3" s="11"/>
      <c r="CS3" s="11"/>
      <c r="CT3" s="11"/>
      <c r="CU3" s="11"/>
      <c r="CV3" s="11"/>
      <c r="CW3" s="11"/>
      <c r="CX3" s="11"/>
      <c r="CY3" s="11"/>
      <c r="CZ3" s="11"/>
      <c r="DA3" s="11"/>
      <c r="DB3" s="11"/>
      <c r="DC3" s="11"/>
      <c r="DD3" s="12"/>
      <c r="DE3" s="11"/>
      <c r="DF3" s="215"/>
      <c r="DG3" s="215"/>
      <c r="DH3" s="215"/>
      <c r="DI3" s="215"/>
      <c r="DJ3" s="215"/>
      <c r="DK3" s="215"/>
      <c r="DL3" s="215"/>
      <c r="DM3" s="215"/>
      <c r="DN3" s="215"/>
      <c r="DO3" s="215"/>
      <c r="DP3" s="215"/>
      <c r="DQ3" s="215"/>
      <c r="DR3" s="215"/>
      <c r="DS3" s="215"/>
      <c r="DT3" s="215"/>
      <c r="DU3" s="215"/>
      <c r="DV3" s="215"/>
      <c r="DW3" s="215"/>
      <c r="DX3" s="215"/>
      <c r="DY3" s="215"/>
      <c r="DZ3" s="215"/>
      <c r="EA3" s="215"/>
      <c r="EB3" s="13"/>
    </row>
    <row r="4" spans="1:132" ht="12.75" customHeight="1" x14ac:dyDescent="0.15">
      <c r="A4" s="53">
        <v>3</v>
      </c>
      <c r="B4" s="207"/>
      <c r="C4" s="208"/>
      <c r="D4" s="208"/>
      <c r="E4" s="208"/>
      <c r="F4" s="208"/>
      <c r="G4" s="208"/>
      <c r="H4" s="208"/>
      <c r="I4" s="208"/>
      <c r="J4" s="208"/>
      <c r="K4" s="208"/>
      <c r="L4" s="208"/>
      <c r="M4" s="208"/>
      <c r="N4" s="208"/>
      <c r="O4" s="208"/>
      <c r="P4" s="208"/>
      <c r="Q4" s="208"/>
      <c r="R4" s="208"/>
      <c r="S4" s="208"/>
      <c r="T4" s="208"/>
      <c r="U4" s="208"/>
      <c r="V4" s="208"/>
      <c r="W4" s="208"/>
      <c r="X4" s="208"/>
      <c r="Y4" s="208"/>
      <c r="Z4" s="208"/>
      <c r="AA4" s="208"/>
      <c r="AB4" s="208"/>
      <c r="AC4" s="208"/>
      <c r="AD4" s="208"/>
      <c r="AE4" s="208"/>
      <c r="AF4" s="208"/>
      <c r="AG4" s="208"/>
      <c r="AH4" s="208"/>
      <c r="AI4" s="208"/>
      <c r="AJ4" s="208"/>
      <c r="AK4" s="208"/>
      <c r="AL4" s="208"/>
      <c r="AM4" s="208"/>
      <c r="AN4" s="208"/>
      <c r="AO4" s="208"/>
      <c r="AP4" s="208"/>
      <c r="AQ4" s="208"/>
      <c r="AR4" s="208"/>
      <c r="AS4" s="208"/>
      <c r="AT4" s="208"/>
      <c r="AU4" s="208"/>
      <c r="AV4" s="208"/>
      <c r="AW4" s="208"/>
      <c r="AX4" s="208"/>
      <c r="AY4" s="208"/>
      <c r="AZ4" s="208"/>
      <c r="BA4" s="208"/>
      <c r="BB4" s="208"/>
      <c r="BC4" s="208"/>
      <c r="BD4" s="208"/>
      <c r="BE4" s="208"/>
      <c r="BF4" s="208"/>
      <c r="BG4" s="208"/>
      <c r="BH4" s="208"/>
      <c r="BI4" s="208"/>
      <c r="BJ4" s="208"/>
      <c r="BK4" s="208"/>
      <c r="BL4" s="208"/>
      <c r="BM4" s="208"/>
      <c r="BN4" s="208"/>
      <c r="BO4" s="208"/>
      <c r="BP4" s="208"/>
      <c r="BQ4" s="208"/>
      <c r="BR4" s="208"/>
      <c r="BS4" s="209"/>
      <c r="BT4" s="198" t="s">
        <v>13</v>
      </c>
      <c r="BU4" s="199"/>
      <c r="BV4" s="199"/>
      <c r="BW4" s="199"/>
      <c r="BX4" s="199"/>
      <c r="BY4" s="123" t="s">
        <v>42</v>
      </c>
      <c r="BZ4" s="123"/>
      <c r="CA4" s="123"/>
      <c r="CB4" s="123"/>
      <c r="CC4" s="123"/>
      <c r="CD4" s="123"/>
      <c r="CE4" s="123"/>
      <c r="CF4" s="123"/>
      <c r="CG4" s="123"/>
      <c r="CH4" s="123"/>
      <c r="CI4" s="123"/>
      <c r="CJ4" s="123"/>
      <c r="CK4" s="123"/>
      <c r="CL4" s="123"/>
      <c r="CM4" s="123"/>
      <c r="CN4" s="10"/>
      <c r="CO4" s="11"/>
      <c r="CP4" s="11"/>
      <c r="CQ4" s="11"/>
      <c r="CR4" s="11"/>
      <c r="CS4" s="11"/>
      <c r="CT4" s="11"/>
      <c r="CU4" s="11"/>
      <c r="CV4" s="11"/>
      <c r="CW4" s="11"/>
      <c r="CX4" s="11"/>
      <c r="CY4" s="11"/>
      <c r="CZ4" s="11"/>
      <c r="DA4" s="11"/>
      <c r="DB4" s="11"/>
      <c r="DC4" s="11"/>
      <c r="DD4" s="12"/>
      <c r="DE4" s="9"/>
      <c r="DF4" s="216"/>
      <c r="DG4" s="216"/>
      <c r="DH4" s="216"/>
      <c r="DI4" s="216"/>
      <c r="DJ4" s="216"/>
      <c r="DK4" s="216"/>
      <c r="DL4" s="216"/>
      <c r="DM4" s="216"/>
      <c r="DN4" s="216"/>
      <c r="DO4" s="216"/>
      <c r="DP4" s="216"/>
      <c r="DQ4" s="216"/>
      <c r="DR4" s="216"/>
      <c r="DS4" s="216"/>
      <c r="DT4" s="216"/>
      <c r="DU4" s="216"/>
      <c r="DV4" s="216"/>
      <c r="DW4" s="216"/>
      <c r="DX4" s="216"/>
      <c r="DY4" s="216"/>
      <c r="DZ4" s="216"/>
      <c r="EA4" s="216"/>
      <c r="EB4" s="14"/>
    </row>
    <row r="5" spans="1:132" ht="12.75" customHeight="1" x14ac:dyDescent="0.15">
      <c r="A5" s="53">
        <v>4</v>
      </c>
      <c r="B5" s="207"/>
      <c r="C5" s="208"/>
      <c r="D5" s="208"/>
      <c r="E5" s="208"/>
      <c r="F5" s="208"/>
      <c r="G5" s="208"/>
      <c r="H5" s="208"/>
      <c r="I5" s="208"/>
      <c r="J5" s="208"/>
      <c r="K5" s="208"/>
      <c r="L5" s="208"/>
      <c r="M5" s="208"/>
      <c r="N5" s="208"/>
      <c r="O5" s="208"/>
      <c r="P5" s="208"/>
      <c r="Q5" s="208"/>
      <c r="R5" s="208"/>
      <c r="S5" s="208"/>
      <c r="T5" s="208"/>
      <c r="U5" s="208"/>
      <c r="V5" s="208"/>
      <c r="W5" s="208"/>
      <c r="X5" s="208"/>
      <c r="Y5" s="208"/>
      <c r="Z5" s="208"/>
      <c r="AA5" s="208"/>
      <c r="AB5" s="208"/>
      <c r="AC5" s="208"/>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9"/>
      <c r="BT5" s="198" t="s">
        <v>2</v>
      </c>
      <c r="BU5" s="199"/>
      <c r="BV5" s="199"/>
      <c r="BW5" s="199"/>
      <c r="BX5" s="199"/>
      <c r="BY5" s="123" t="s">
        <v>43</v>
      </c>
      <c r="BZ5" s="123"/>
      <c r="CA5" s="123"/>
      <c r="CB5" s="123"/>
      <c r="CC5" s="123"/>
      <c r="CD5" s="123"/>
      <c r="CE5" s="123"/>
      <c r="CF5" s="123"/>
      <c r="CG5" s="123"/>
      <c r="CH5" s="123"/>
      <c r="CI5" s="123"/>
      <c r="CJ5" s="123"/>
      <c r="CK5" s="123"/>
      <c r="CL5" s="123"/>
      <c r="CM5" s="123"/>
      <c r="CN5" s="10"/>
      <c r="CO5" s="11"/>
      <c r="CP5" s="11"/>
      <c r="CQ5" s="11"/>
      <c r="CR5" s="11"/>
      <c r="CS5" s="11"/>
      <c r="CT5" s="11"/>
      <c r="CU5" s="11"/>
      <c r="CV5" s="11"/>
      <c r="CW5" s="11"/>
      <c r="CX5" s="11"/>
      <c r="CY5" s="11"/>
      <c r="CZ5" s="11"/>
      <c r="DA5" s="11"/>
      <c r="DB5" s="11"/>
      <c r="DC5" s="11"/>
      <c r="DD5" s="12"/>
      <c r="DE5" s="9"/>
      <c r="DF5" s="2" t="s">
        <v>14</v>
      </c>
      <c r="DG5" s="2"/>
      <c r="DH5" s="2"/>
      <c r="DI5" s="2"/>
      <c r="DJ5" s="2"/>
      <c r="DK5" s="2"/>
      <c r="DL5" s="2"/>
      <c r="DM5" s="2"/>
      <c r="DN5" s="54"/>
      <c r="DO5" s="106">
        <v>0</v>
      </c>
      <c r="DP5" s="106"/>
      <c r="DQ5" s="106"/>
      <c r="DR5" s="106"/>
      <c r="DS5" s="106"/>
      <c r="DT5" s="106"/>
      <c r="DU5" s="106"/>
      <c r="DV5" s="106"/>
      <c r="DW5" s="106"/>
      <c r="DX5" s="106"/>
      <c r="DY5" s="106"/>
      <c r="DZ5" s="106"/>
      <c r="EA5" s="106"/>
      <c r="EB5" s="197"/>
    </row>
    <row r="6" spans="1:132" ht="12.75" customHeight="1" x14ac:dyDescent="0.15">
      <c r="A6" s="53">
        <v>5</v>
      </c>
      <c r="B6" s="207"/>
      <c r="C6" s="208"/>
      <c r="D6" s="208"/>
      <c r="E6" s="208"/>
      <c r="F6" s="208"/>
      <c r="G6" s="208"/>
      <c r="H6" s="208"/>
      <c r="I6" s="208"/>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9"/>
      <c r="BT6" s="198" t="s">
        <v>3</v>
      </c>
      <c r="BU6" s="199"/>
      <c r="BV6" s="199"/>
      <c r="BW6" s="199"/>
      <c r="BX6" s="199"/>
      <c r="BY6" s="123" t="e">
        <f>#REF!</f>
        <v>#REF!</v>
      </c>
      <c r="BZ6" s="123"/>
      <c r="CA6" s="123"/>
      <c r="CB6" s="123"/>
      <c r="CC6" s="123"/>
      <c r="CD6" s="123"/>
      <c r="CE6" s="123"/>
      <c r="CF6" s="123"/>
      <c r="CG6" s="123"/>
      <c r="CH6" s="123"/>
      <c r="CI6" s="123"/>
      <c r="CJ6" s="123"/>
      <c r="CK6" s="123"/>
      <c r="CL6" s="123"/>
      <c r="CM6" s="123"/>
      <c r="CN6" s="10"/>
      <c r="CO6" s="11"/>
      <c r="CP6" s="11"/>
      <c r="CQ6" s="11"/>
      <c r="CR6" s="11"/>
      <c r="CS6" s="11"/>
      <c r="CT6" s="11"/>
      <c r="CU6" s="11"/>
      <c r="CV6" s="11"/>
      <c r="CW6" s="11"/>
      <c r="CX6" s="11"/>
      <c r="CY6" s="11"/>
      <c r="CZ6" s="11"/>
      <c r="DA6" s="11"/>
      <c r="DB6" s="11"/>
      <c r="DC6" s="11"/>
      <c r="DD6" s="12"/>
      <c r="DE6" s="9"/>
      <c r="DF6" s="2" t="s">
        <v>15</v>
      </c>
      <c r="DG6" s="2"/>
      <c r="DH6" s="2"/>
      <c r="DI6" s="2"/>
      <c r="DJ6" s="2"/>
      <c r="DK6" s="2"/>
      <c r="DL6" s="2"/>
      <c r="DM6" s="2"/>
      <c r="DN6" s="2"/>
      <c r="DO6" s="106">
        <v>0</v>
      </c>
      <c r="DP6" s="106"/>
      <c r="DQ6" s="106"/>
      <c r="DR6" s="106"/>
      <c r="DS6" s="106"/>
      <c r="DT6" s="106"/>
      <c r="DU6" s="106"/>
      <c r="DV6" s="106"/>
      <c r="DW6" s="106"/>
      <c r="DX6" s="106"/>
      <c r="DY6" s="106"/>
      <c r="DZ6" s="106"/>
      <c r="EA6" s="106"/>
      <c r="EB6" s="197"/>
    </row>
    <row r="7" spans="1:132" ht="12.75" customHeight="1" x14ac:dyDescent="0.15">
      <c r="A7" s="52">
        <v>6</v>
      </c>
      <c r="B7" s="210"/>
      <c r="C7" s="211"/>
      <c r="D7" s="211"/>
      <c r="E7" s="211"/>
      <c r="F7" s="211"/>
      <c r="G7" s="211"/>
      <c r="H7" s="211"/>
      <c r="I7" s="211"/>
      <c r="J7" s="211"/>
      <c r="K7" s="211"/>
      <c r="L7" s="211"/>
      <c r="M7" s="211"/>
      <c r="N7" s="211"/>
      <c r="O7" s="211"/>
      <c r="P7" s="211"/>
      <c r="Q7" s="211"/>
      <c r="R7" s="211"/>
      <c r="S7" s="211"/>
      <c r="T7" s="211"/>
      <c r="U7" s="211"/>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A7" s="211"/>
      <c r="BB7" s="211"/>
      <c r="BC7" s="211"/>
      <c r="BD7" s="211"/>
      <c r="BE7" s="211"/>
      <c r="BF7" s="211"/>
      <c r="BG7" s="211"/>
      <c r="BH7" s="211"/>
      <c r="BI7" s="211"/>
      <c r="BJ7" s="211"/>
      <c r="BK7" s="211"/>
      <c r="BL7" s="211"/>
      <c r="BM7" s="211"/>
      <c r="BN7" s="211"/>
      <c r="BO7" s="211"/>
      <c r="BP7" s="211"/>
      <c r="BQ7" s="211"/>
      <c r="BR7" s="211"/>
      <c r="BS7" s="212"/>
      <c r="BT7" s="16"/>
      <c r="BU7" s="17"/>
      <c r="BV7" s="17"/>
      <c r="BW7" s="17"/>
      <c r="BX7" s="17"/>
      <c r="BY7" s="17"/>
      <c r="BZ7" s="17"/>
      <c r="CA7" s="17"/>
      <c r="CB7" s="17"/>
      <c r="CC7" s="17"/>
      <c r="CD7" s="17"/>
      <c r="CE7" s="17"/>
      <c r="CF7" s="17"/>
      <c r="CG7" s="17"/>
      <c r="CH7" s="17"/>
      <c r="CI7" s="17"/>
      <c r="CJ7" s="17"/>
      <c r="CK7" s="17"/>
      <c r="CL7" s="17"/>
      <c r="CM7" s="17"/>
      <c r="CN7" s="18"/>
      <c r="CO7" s="17"/>
      <c r="CP7" s="17"/>
      <c r="CQ7" s="19"/>
      <c r="CR7" s="19"/>
      <c r="CS7" s="19"/>
      <c r="CT7" s="17"/>
      <c r="CU7" s="17"/>
      <c r="CV7" s="17"/>
      <c r="CW7" s="17"/>
      <c r="CX7" s="17"/>
      <c r="CY7" s="17"/>
      <c r="CZ7" s="17"/>
      <c r="DA7" s="17"/>
      <c r="DB7" s="17"/>
      <c r="DC7" s="17"/>
      <c r="DD7" s="18"/>
      <c r="DE7" s="17"/>
      <c r="DF7" s="17" t="s">
        <v>18</v>
      </c>
      <c r="DG7" s="17"/>
      <c r="DH7" s="17"/>
      <c r="DI7" s="17"/>
      <c r="DJ7" s="17"/>
      <c r="DK7" s="17"/>
      <c r="DL7" s="58"/>
      <c r="DM7" s="58"/>
      <c r="DN7" s="58"/>
      <c r="DO7" s="223">
        <v>10</v>
      </c>
      <c r="DP7" s="223"/>
      <c r="DQ7" s="223"/>
      <c r="DR7" s="223"/>
      <c r="DS7" s="223"/>
      <c r="DT7" s="223"/>
      <c r="DU7" s="223"/>
      <c r="DV7" s="223"/>
      <c r="DW7" s="223"/>
      <c r="DX7" s="223"/>
      <c r="DY7" s="223"/>
      <c r="DZ7" s="223"/>
      <c r="EA7" s="223"/>
      <c r="EB7" s="224"/>
    </row>
    <row r="8" spans="1:132" ht="12.75" customHeight="1" x14ac:dyDescent="0.15">
      <c r="A8" s="53">
        <v>7</v>
      </c>
      <c r="B8" s="21"/>
      <c r="C8" s="201"/>
      <c r="D8" s="202"/>
      <c r="E8" s="202"/>
      <c r="F8" s="203"/>
      <c r="G8" s="147" t="s">
        <v>44</v>
      </c>
      <c r="H8" s="148"/>
      <c r="I8" s="148"/>
      <c r="J8" s="148"/>
      <c r="K8" s="148"/>
      <c r="L8" s="148"/>
      <c r="M8" s="148"/>
      <c r="N8" s="178"/>
      <c r="O8" s="149" t="s">
        <v>77</v>
      </c>
      <c r="P8" s="148"/>
      <c r="Q8" s="148"/>
      <c r="R8" s="148"/>
      <c r="S8" s="148"/>
      <c r="T8" s="148"/>
      <c r="U8" s="148"/>
      <c r="V8" s="148"/>
      <c r="W8" s="148"/>
      <c r="X8" s="178"/>
      <c r="Y8" s="149" t="s">
        <v>39</v>
      </c>
      <c r="Z8" s="148"/>
      <c r="AA8" s="148"/>
      <c r="AB8" s="148"/>
      <c r="AC8" s="148"/>
      <c r="AD8" s="148"/>
      <c r="AE8" s="148"/>
      <c r="AF8" s="148"/>
      <c r="AG8" s="148"/>
      <c r="AH8" s="178"/>
      <c r="AI8" s="149">
        <v>1</v>
      </c>
      <c r="AJ8" s="148"/>
      <c r="AK8" s="148"/>
      <c r="AL8" s="148"/>
      <c r="AM8" s="148"/>
      <c r="AN8" s="148"/>
      <c r="AO8" s="148"/>
      <c r="AP8" s="148"/>
      <c r="AQ8" s="148"/>
      <c r="AR8" s="178"/>
      <c r="AS8" s="149">
        <v>2</v>
      </c>
      <c r="AT8" s="148"/>
      <c r="AU8" s="148"/>
      <c r="AV8" s="148"/>
      <c r="AW8" s="148"/>
      <c r="AX8" s="148"/>
      <c r="AY8" s="148"/>
      <c r="AZ8" s="148"/>
      <c r="BA8" s="148"/>
      <c r="BB8" s="178"/>
      <c r="BC8" s="149">
        <v>3</v>
      </c>
      <c r="BD8" s="148"/>
      <c r="BE8" s="148"/>
      <c r="BF8" s="148"/>
      <c r="BG8" s="148"/>
      <c r="BH8" s="148"/>
      <c r="BI8" s="148"/>
      <c r="BJ8" s="148"/>
      <c r="BK8" s="148"/>
      <c r="BL8" s="178"/>
      <c r="BM8" s="149">
        <v>4</v>
      </c>
      <c r="BN8" s="148"/>
      <c r="BO8" s="148"/>
      <c r="BP8" s="148"/>
      <c r="BQ8" s="148"/>
      <c r="BR8" s="148"/>
      <c r="BS8" s="148"/>
      <c r="BT8" s="148"/>
      <c r="BU8" s="148"/>
      <c r="BV8" s="178"/>
      <c r="BW8" s="149">
        <v>5</v>
      </c>
      <c r="BX8" s="148"/>
      <c r="BY8" s="148"/>
      <c r="BZ8" s="148"/>
      <c r="CA8" s="148"/>
      <c r="CB8" s="148"/>
      <c r="CC8" s="148"/>
      <c r="CD8" s="148"/>
      <c r="CE8" s="148"/>
      <c r="CF8" s="178"/>
      <c r="CG8" s="149">
        <v>6</v>
      </c>
      <c r="CH8" s="148"/>
      <c r="CI8" s="148"/>
      <c r="CJ8" s="148"/>
      <c r="CK8" s="148"/>
      <c r="CL8" s="148"/>
      <c r="CM8" s="148"/>
      <c r="CN8" s="148"/>
      <c r="CO8" s="148"/>
      <c r="CP8" s="178"/>
      <c r="CQ8" s="149">
        <v>7</v>
      </c>
      <c r="CR8" s="148"/>
      <c r="CS8" s="148"/>
      <c r="CT8" s="148"/>
      <c r="CU8" s="148"/>
      <c r="CV8" s="148"/>
      <c r="CW8" s="148"/>
      <c r="CX8" s="148"/>
      <c r="CY8" s="148"/>
      <c r="CZ8" s="178"/>
      <c r="DA8" s="149">
        <v>8</v>
      </c>
      <c r="DB8" s="148"/>
      <c r="DC8" s="148"/>
      <c r="DD8" s="148"/>
      <c r="DE8" s="148"/>
      <c r="DF8" s="148"/>
      <c r="DG8" s="148"/>
      <c r="DH8" s="148"/>
      <c r="DI8" s="148"/>
      <c r="DJ8" s="150"/>
      <c r="DK8" s="65"/>
      <c r="DL8" s="217" t="s">
        <v>57</v>
      </c>
      <c r="DM8" s="218"/>
      <c r="DN8" s="218"/>
      <c r="DO8" s="218"/>
      <c r="DP8" s="218"/>
      <c r="DQ8" s="218"/>
      <c r="DR8" s="218"/>
      <c r="DS8" s="218"/>
      <c r="DT8" s="218"/>
      <c r="DU8" s="218"/>
      <c r="DV8" s="218"/>
      <c r="DW8" s="218"/>
      <c r="DX8" s="218"/>
      <c r="DY8" s="218"/>
      <c r="DZ8" s="218"/>
      <c r="EA8" s="218"/>
      <c r="EB8" s="219"/>
    </row>
    <row r="9" spans="1:132" ht="12.75" customHeight="1" x14ac:dyDescent="0.15">
      <c r="A9" s="53">
        <v>8</v>
      </c>
      <c r="B9" s="23"/>
      <c r="C9" s="145"/>
      <c r="D9" s="146"/>
      <c r="E9" s="146"/>
      <c r="F9" s="157"/>
      <c r="G9" s="238" t="s">
        <v>45</v>
      </c>
      <c r="H9" s="138"/>
      <c r="I9" s="138"/>
      <c r="J9" s="138"/>
      <c r="K9" s="138"/>
      <c r="L9" s="138"/>
      <c r="M9" s="138"/>
      <c r="N9" s="239"/>
      <c r="O9" s="126" t="s">
        <v>32</v>
      </c>
      <c r="P9" s="123"/>
      <c r="Q9" s="123"/>
      <c r="R9" s="123"/>
      <c r="S9" s="123"/>
      <c r="T9" s="123"/>
      <c r="U9" s="123"/>
      <c r="V9" s="123"/>
      <c r="W9" s="123"/>
      <c r="X9" s="144"/>
      <c r="Y9" s="126" t="s">
        <v>33</v>
      </c>
      <c r="Z9" s="123"/>
      <c r="AA9" s="123"/>
      <c r="AB9" s="123"/>
      <c r="AC9" s="123"/>
      <c r="AD9" s="123"/>
      <c r="AE9" s="123"/>
      <c r="AF9" s="123"/>
      <c r="AG9" s="123"/>
      <c r="AH9" s="144"/>
      <c r="AI9" s="126" t="s">
        <v>37</v>
      </c>
      <c r="AJ9" s="123"/>
      <c r="AK9" s="123"/>
      <c r="AL9" s="123"/>
      <c r="AM9" s="123"/>
      <c r="AN9" s="123"/>
      <c r="AO9" s="123"/>
      <c r="AP9" s="123"/>
      <c r="AQ9" s="123"/>
      <c r="AR9" s="144"/>
      <c r="AS9" s="126" t="s">
        <v>38</v>
      </c>
      <c r="AT9" s="123"/>
      <c r="AU9" s="123"/>
      <c r="AV9" s="123"/>
      <c r="AW9" s="123"/>
      <c r="AX9" s="123"/>
      <c r="AY9" s="123"/>
      <c r="AZ9" s="123"/>
      <c r="BA9" s="123"/>
      <c r="BB9" s="144"/>
      <c r="BC9" s="126" t="s">
        <v>66</v>
      </c>
      <c r="BD9" s="123"/>
      <c r="BE9" s="123"/>
      <c r="BF9" s="123"/>
      <c r="BG9" s="123"/>
      <c r="BH9" s="123"/>
      <c r="BI9" s="123"/>
      <c r="BJ9" s="123"/>
      <c r="BK9" s="123"/>
      <c r="BL9" s="144"/>
      <c r="BM9" s="126" t="s">
        <v>46</v>
      </c>
      <c r="BN9" s="123"/>
      <c r="BO9" s="123"/>
      <c r="BP9" s="123"/>
      <c r="BQ9" s="123"/>
      <c r="BR9" s="123"/>
      <c r="BS9" s="123"/>
      <c r="BT9" s="123"/>
      <c r="BU9" s="123"/>
      <c r="BV9" s="144"/>
      <c r="BW9" s="126" t="s">
        <v>61</v>
      </c>
      <c r="BX9" s="123"/>
      <c r="BY9" s="123"/>
      <c r="BZ9" s="123"/>
      <c r="CA9" s="123"/>
      <c r="CB9" s="123"/>
      <c r="CC9" s="123"/>
      <c r="CD9" s="123"/>
      <c r="CE9" s="123"/>
      <c r="CF9" s="144"/>
      <c r="CG9" s="126" t="s">
        <v>62</v>
      </c>
      <c r="CH9" s="123"/>
      <c r="CI9" s="123"/>
      <c r="CJ9" s="123"/>
      <c r="CK9" s="123"/>
      <c r="CL9" s="123"/>
      <c r="CM9" s="123"/>
      <c r="CN9" s="123"/>
      <c r="CO9" s="123"/>
      <c r="CP9" s="144"/>
      <c r="CQ9" s="126" t="s">
        <v>51</v>
      </c>
      <c r="CR9" s="123"/>
      <c r="CS9" s="123"/>
      <c r="CT9" s="123"/>
      <c r="CU9" s="123"/>
      <c r="CV9" s="123"/>
      <c r="CW9" s="123"/>
      <c r="CX9" s="123"/>
      <c r="CY9" s="123"/>
      <c r="CZ9" s="144"/>
      <c r="DA9" s="126" t="s">
        <v>72</v>
      </c>
      <c r="DB9" s="123"/>
      <c r="DC9" s="123"/>
      <c r="DD9" s="123"/>
      <c r="DE9" s="123"/>
      <c r="DF9" s="123"/>
      <c r="DG9" s="123"/>
      <c r="DH9" s="123"/>
      <c r="DI9" s="123"/>
      <c r="DJ9" s="124"/>
      <c r="DK9" s="66"/>
      <c r="DL9" s="147"/>
      <c r="DM9" s="148"/>
      <c r="DN9" s="148"/>
      <c r="DO9" s="148"/>
      <c r="DP9" s="148"/>
      <c r="DQ9" s="148"/>
      <c r="DR9" s="148"/>
      <c r="DS9" s="148"/>
      <c r="DT9" s="148"/>
      <c r="DU9" s="148"/>
      <c r="DV9" s="148"/>
      <c r="DW9" s="148"/>
      <c r="DX9" s="149"/>
      <c r="DY9" s="148"/>
      <c r="DZ9" s="148"/>
      <c r="EA9" s="148"/>
      <c r="EB9" s="150"/>
    </row>
    <row r="10" spans="1:132" ht="12.75" customHeight="1" x14ac:dyDescent="0.15">
      <c r="A10" s="53">
        <v>9</v>
      </c>
      <c r="B10" s="23"/>
      <c r="C10" s="145"/>
      <c r="D10" s="146"/>
      <c r="E10" s="146"/>
      <c r="F10" s="157"/>
      <c r="G10" s="122" t="s">
        <v>19</v>
      </c>
      <c r="H10" s="123"/>
      <c r="I10" s="123"/>
      <c r="J10" s="123"/>
      <c r="K10" s="144"/>
      <c r="L10" s="126" t="s">
        <v>78</v>
      </c>
      <c r="M10" s="123"/>
      <c r="N10" s="144"/>
      <c r="O10" s="126" t="s">
        <v>20</v>
      </c>
      <c r="P10" s="123"/>
      <c r="Q10" s="123"/>
      <c r="R10" s="123"/>
      <c r="S10" s="144"/>
      <c r="T10" s="126" t="s">
        <v>76</v>
      </c>
      <c r="U10" s="123"/>
      <c r="V10" s="123"/>
      <c r="W10" s="123"/>
      <c r="X10" s="144"/>
      <c r="Y10" s="126" t="s">
        <v>20</v>
      </c>
      <c r="Z10" s="123"/>
      <c r="AA10" s="123"/>
      <c r="AB10" s="123"/>
      <c r="AC10" s="144"/>
      <c r="AD10" s="126" t="s">
        <v>76</v>
      </c>
      <c r="AE10" s="123"/>
      <c r="AF10" s="123"/>
      <c r="AG10" s="123"/>
      <c r="AH10" s="144"/>
      <c r="AI10" s="126" t="s">
        <v>20</v>
      </c>
      <c r="AJ10" s="123"/>
      <c r="AK10" s="123"/>
      <c r="AL10" s="123"/>
      <c r="AM10" s="144"/>
      <c r="AN10" s="126" t="s">
        <v>76</v>
      </c>
      <c r="AO10" s="123"/>
      <c r="AP10" s="123"/>
      <c r="AQ10" s="123"/>
      <c r="AR10" s="144"/>
      <c r="AS10" s="126" t="s">
        <v>20</v>
      </c>
      <c r="AT10" s="123"/>
      <c r="AU10" s="123"/>
      <c r="AV10" s="123"/>
      <c r="AW10" s="144"/>
      <c r="AX10" s="126" t="s">
        <v>76</v>
      </c>
      <c r="AY10" s="123"/>
      <c r="AZ10" s="123"/>
      <c r="BA10" s="123"/>
      <c r="BB10" s="144"/>
      <c r="BC10" s="126" t="s">
        <v>20</v>
      </c>
      <c r="BD10" s="123"/>
      <c r="BE10" s="123"/>
      <c r="BF10" s="123"/>
      <c r="BG10" s="144"/>
      <c r="BH10" s="126" t="s">
        <v>76</v>
      </c>
      <c r="BI10" s="123"/>
      <c r="BJ10" s="123"/>
      <c r="BK10" s="123"/>
      <c r="BL10" s="144"/>
      <c r="BM10" s="126" t="s">
        <v>20</v>
      </c>
      <c r="BN10" s="123"/>
      <c r="BO10" s="123"/>
      <c r="BP10" s="123"/>
      <c r="BQ10" s="144"/>
      <c r="BR10" s="126" t="s">
        <v>76</v>
      </c>
      <c r="BS10" s="123"/>
      <c r="BT10" s="123"/>
      <c r="BU10" s="123"/>
      <c r="BV10" s="144"/>
      <c r="BW10" s="126" t="s">
        <v>20</v>
      </c>
      <c r="BX10" s="123"/>
      <c r="BY10" s="123"/>
      <c r="BZ10" s="123"/>
      <c r="CA10" s="144"/>
      <c r="CB10" s="126" t="s">
        <v>76</v>
      </c>
      <c r="CC10" s="123"/>
      <c r="CD10" s="123"/>
      <c r="CE10" s="123"/>
      <c r="CF10" s="144"/>
      <c r="CG10" s="126" t="s">
        <v>20</v>
      </c>
      <c r="CH10" s="123"/>
      <c r="CI10" s="123"/>
      <c r="CJ10" s="123"/>
      <c r="CK10" s="144"/>
      <c r="CL10" s="126" t="s">
        <v>76</v>
      </c>
      <c r="CM10" s="123"/>
      <c r="CN10" s="123"/>
      <c r="CO10" s="123"/>
      <c r="CP10" s="144"/>
      <c r="CQ10" s="126" t="s">
        <v>20</v>
      </c>
      <c r="CR10" s="123"/>
      <c r="CS10" s="123"/>
      <c r="CT10" s="123"/>
      <c r="CU10" s="144"/>
      <c r="CV10" s="126" t="s">
        <v>76</v>
      </c>
      <c r="CW10" s="123"/>
      <c r="CX10" s="123"/>
      <c r="CY10" s="123"/>
      <c r="CZ10" s="144"/>
      <c r="DA10" s="126" t="s">
        <v>20</v>
      </c>
      <c r="DB10" s="123"/>
      <c r="DC10" s="123"/>
      <c r="DD10" s="123"/>
      <c r="DE10" s="144"/>
      <c r="DF10" s="126" t="s">
        <v>76</v>
      </c>
      <c r="DG10" s="123"/>
      <c r="DH10" s="123"/>
      <c r="DI10" s="123"/>
      <c r="DJ10" s="144"/>
      <c r="DK10" s="66"/>
      <c r="DL10" s="122"/>
      <c r="DM10" s="123"/>
      <c r="DN10" s="123"/>
      <c r="DO10" s="123"/>
      <c r="DP10" s="123"/>
      <c r="DQ10" s="123"/>
      <c r="DR10" s="144"/>
      <c r="DS10" s="126"/>
      <c r="DT10" s="123"/>
      <c r="DU10" s="123"/>
      <c r="DV10" s="123"/>
      <c r="DW10" s="144"/>
      <c r="DX10" s="123"/>
      <c r="DY10" s="123"/>
      <c r="DZ10" s="123"/>
      <c r="EA10" s="123"/>
      <c r="EB10" s="124"/>
    </row>
    <row r="11" spans="1:132" ht="12.75" customHeight="1" x14ac:dyDescent="0.15">
      <c r="A11" s="53">
        <v>10</v>
      </c>
      <c r="B11" s="23"/>
      <c r="C11" s="191"/>
      <c r="D11" s="192"/>
      <c r="E11" s="192"/>
      <c r="F11" s="193"/>
      <c r="G11" s="122" t="s">
        <v>68</v>
      </c>
      <c r="H11" s="123"/>
      <c r="I11" s="123"/>
      <c r="J11" s="123"/>
      <c r="K11" s="144"/>
      <c r="L11" s="126">
        <v>4.18</v>
      </c>
      <c r="M11" s="123"/>
      <c r="N11" s="144"/>
      <c r="O11" s="143" t="e">
        <f>#REF!</f>
        <v>#REF!</v>
      </c>
      <c r="P11" s="141"/>
      <c r="Q11" s="141"/>
      <c r="R11" s="141"/>
      <c r="S11" s="142"/>
      <c r="T11" s="143" t="e">
        <f>L11*O11*$O$26</f>
        <v>#REF!</v>
      </c>
      <c r="U11" s="141"/>
      <c r="V11" s="141"/>
      <c r="W11" s="141"/>
      <c r="X11" s="142"/>
      <c r="Y11" s="250"/>
      <c r="Z11" s="251"/>
      <c r="AA11" s="251"/>
      <c r="AB11" s="251"/>
      <c r="AC11" s="252"/>
      <c r="AD11" s="250"/>
      <c r="AE11" s="251"/>
      <c r="AF11" s="251"/>
      <c r="AG11" s="251"/>
      <c r="AH11" s="252"/>
      <c r="AI11" s="143" t="e">
        <f>#REF!</f>
        <v>#REF!</v>
      </c>
      <c r="AJ11" s="141"/>
      <c r="AK11" s="141"/>
      <c r="AL11" s="141"/>
      <c r="AM11" s="142"/>
      <c r="AN11" s="143" t="e">
        <f>AI11*L11*$AI$26</f>
        <v>#REF!</v>
      </c>
      <c r="AO11" s="141"/>
      <c r="AP11" s="141"/>
      <c r="AQ11" s="141"/>
      <c r="AR11" s="142"/>
      <c r="AS11" s="143" t="e">
        <f>#REF!</f>
        <v>#REF!</v>
      </c>
      <c r="AT11" s="141"/>
      <c r="AU11" s="141"/>
      <c r="AV11" s="141"/>
      <c r="AW11" s="142"/>
      <c r="AX11" s="143" t="e">
        <f>AS11*L11*$AS$26</f>
        <v>#REF!</v>
      </c>
      <c r="AY11" s="141"/>
      <c r="AZ11" s="141"/>
      <c r="BA11" s="141"/>
      <c r="BB11" s="142"/>
      <c r="BC11" s="143" t="e">
        <f>#REF!</f>
        <v>#REF!</v>
      </c>
      <c r="BD11" s="141"/>
      <c r="BE11" s="141"/>
      <c r="BF11" s="141"/>
      <c r="BG11" s="142"/>
      <c r="BH11" s="143" t="e">
        <f>BC11*L11*$BC$26</f>
        <v>#REF!</v>
      </c>
      <c r="BI11" s="141"/>
      <c r="BJ11" s="141"/>
      <c r="BK11" s="141"/>
      <c r="BL11" s="142"/>
      <c r="BM11" s="143" t="e">
        <f>#REF!</f>
        <v>#REF!</v>
      </c>
      <c r="BN11" s="141"/>
      <c r="BO11" s="141"/>
      <c r="BP11" s="141"/>
      <c r="BQ11" s="142"/>
      <c r="BR11" s="143" t="e">
        <f>BM11*L11*$BM$26</f>
        <v>#REF!</v>
      </c>
      <c r="BS11" s="141"/>
      <c r="BT11" s="141"/>
      <c r="BU11" s="141"/>
      <c r="BV11" s="142"/>
      <c r="BW11" s="143" t="e">
        <f>#REF!</f>
        <v>#REF!</v>
      </c>
      <c r="BX11" s="141"/>
      <c r="BY11" s="141"/>
      <c r="BZ11" s="141"/>
      <c r="CA11" s="142"/>
      <c r="CB11" s="143"/>
      <c r="CC11" s="141"/>
      <c r="CD11" s="141"/>
      <c r="CE11" s="141"/>
      <c r="CF11" s="142"/>
      <c r="CG11" s="143" t="e">
        <f>BW11*0.9</f>
        <v>#REF!</v>
      </c>
      <c r="CH11" s="141"/>
      <c r="CI11" s="141"/>
      <c r="CJ11" s="141"/>
      <c r="CK11" s="142"/>
      <c r="CL11" s="143" t="e">
        <f>CG11*L11*$CG$26</f>
        <v>#REF!</v>
      </c>
      <c r="CM11" s="141"/>
      <c r="CN11" s="141"/>
      <c r="CO11" s="141"/>
      <c r="CP11" s="142"/>
      <c r="CQ11" s="143" t="e">
        <f>AS11-AI11</f>
        <v>#REF!</v>
      </c>
      <c r="CR11" s="141"/>
      <c r="CS11" s="141"/>
      <c r="CT11" s="141"/>
      <c r="CU11" s="142"/>
      <c r="CV11" s="143">
        <v>0</v>
      </c>
      <c r="CW11" s="141"/>
      <c r="CX11" s="141"/>
      <c r="CY11" s="141"/>
      <c r="CZ11" s="142"/>
      <c r="DA11" s="143"/>
      <c r="DB11" s="141"/>
      <c r="DC11" s="141"/>
      <c r="DD11" s="141"/>
      <c r="DE11" s="142"/>
      <c r="DF11" s="143"/>
      <c r="DG11" s="141"/>
      <c r="DH11" s="141"/>
      <c r="DI11" s="141"/>
      <c r="DJ11" s="162"/>
      <c r="DK11" s="66"/>
      <c r="DL11" s="122"/>
      <c r="DM11" s="123"/>
      <c r="DN11" s="123"/>
      <c r="DO11" s="123"/>
      <c r="DP11" s="123"/>
      <c r="DQ11" s="123"/>
      <c r="DR11" s="144"/>
      <c r="DS11" s="126"/>
      <c r="DT11" s="123"/>
      <c r="DU11" s="123"/>
      <c r="DV11" s="123"/>
      <c r="DW11" s="144"/>
      <c r="DX11" s="123"/>
      <c r="DY11" s="123"/>
      <c r="DZ11" s="123"/>
      <c r="EA11" s="123"/>
      <c r="EB11" s="124"/>
    </row>
    <row r="12" spans="1:132" ht="12.75" customHeight="1" x14ac:dyDescent="0.15">
      <c r="A12" s="52">
        <v>11</v>
      </c>
      <c r="B12" s="23"/>
      <c r="C12" s="191"/>
      <c r="D12" s="192"/>
      <c r="E12" s="192"/>
      <c r="F12" s="193"/>
      <c r="G12" s="122" t="s">
        <v>22</v>
      </c>
      <c r="H12" s="123"/>
      <c r="I12" s="123"/>
      <c r="J12" s="123"/>
      <c r="K12" s="144"/>
      <c r="L12" s="126"/>
      <c r="M12" s="123"/>
      <c r="N12" s="144"/>
      <c r="O12" s="143" t="e">
        <f>#REF!</f>
        <v>#REF!</v>
      </c>
      <c r="P12" s="141"/>
      <c r="Q12" s="141"/>
      <c r="R12" s="141"/>
      <c r="S12" s="142"/>
      <c r="T12" s="143"/>
      <c r="U12" s="141"/>
      <c r="V12" s="141"/>
      <c r="W12" s="141"/>
      <c r="X12" s="142"/>
      <c r="Y12" s="143" t="e">
        <f>O12</f>
        <v>#REF!</v>
      </c>
      <c r="Z12" s="141"/>
      <c r="AA12" s="141"/>
      <c r="AB12" s="141"/>
      <c r="AC12" s="142"/>
      <c r="AD12" s="143"/>
      <c r="AE12" s="141"/>
      <c r="AF12" s="141"/>
      <c r="AG12" s="141"/>
      <c r="AH12" s="142"/>
      <c r="AI12" s="250"/>
      <c r="AJ12" s="251"/>
      <c r="AK12" s="251"/>
      <c r="AL12" s="251"/>
      <c r="AM12" s="252"/>
      <c r="AN12" s="250"/>
      <c r="AO12" s="251"/>
      <c r="AP12" s="251"/>
      <c r="AQ12" s="251"/>
      <c r="AR12" s="252"/>
      <c r="AS12" s="250"/>
      <c r="AT12" s="251"/>
      <c r="AU12" s="251"/>
      <c r="AV12" s="251"/>
      <c r="AW12" s="252"/>
      <c r="AX12" s="250"/>
      <c r="AY12" s="251"/>
      <c r="AZ12" s="251"/>
      <c r="BA12" s="251"/>
      <c r="BB12" s="252"/>
      <c r="BC12" s="250"/>
      <c r="BD12" s="251"/>
      <c r="BE12" s="251"/>
      <c r="BF12" s="251"/>
      <c r="BG12" s="252"/>
      <c r="BH12" s="250"/>
      <c r="BI12" s="251"/>
      <c r="BJ12" s="251"/>
      <c r="BK12" s="251"/>
      <c r="BL12" s="252"/>
      <c r="BM12" s="250"/>
      <c r="BN12" s="251"/>
      <c r="BO12" s="251"/>
      <c r="BP12" s="251"/>
      <c r="BQ12" s="252"/>
      <c r="BR12" s="250"/>
      <c r="BS12" s="251"/>
      <c r="BT12" s="251"/>
      <c r="BU12" s="251"/>
      <c r="BV12" s="252"/>
      <c r="BW12" s="250"/>
      <c r="BX12" s="251"/>
      <c r="BY12" s="251"/>
      <c r="BZ12" s="251"/>
      <c r="CA12" s="252"/>
      <c r="CB12" s="250"/>
      <c r="CC12" s="251"/>
      <c r="CD12" s="251"/>
      <c r="CE12" s="251"/>
      <c r="CF12" s="252"/>
      <c r="CG12" s="250"/>
      <c r="CH12" s="251"/>
      <c r="CI12" s="251"/>
      <c r="CJ12" s="251"/>
      <c r="CK12" s="252"/>
      <c r="CL12" s="250"/>
      <c r="CM12" s="251"/>
      <c r="CN12" s="251"/>
      <c r="CO12" s="251"/>
      <c r="CP12" s="252"/>
      <c r="CQ12" s="250"/>
      <c r="CR12" s="251"/>
      <c r="CS12" s="251"/>
      <c r="CT12" s="251"/>
      <c r="CU12" s="252"/>
      <c r="CV12" s="250"/>
      <c r="CW12" s="251"/>
      <c r="CX12" s="251"/>
      <c r="CY12" s="251"/>
      <c r="CZ12" s="252"/>
      <c r="DA12" s="143"/>
      <c r="DB12" s="141"/>
      <c r="DC12" s="141"/>
      <c r="DD12" s="141"/>
      <c r="DE12" s="142"/>
      <c r="DF12" s="143"/>
      <c r="DG12" s="141"/>
      <c r="DH12" s="141"/>
      <c r="DI12" s="141"/>
      <c r="DJ12" s="162"/>
      <c r="DK12" s="66"/>
      <c r="DL12" s="122"/>
      <c r="DM12" s="123"/>
      <c r="DN12" s="123"/>
      <c r="DO12" s="123"/>
      <c r="DP12" s="123"/>
      <c r="DQ12" s="123"/>
      <c r="DR12" s="144"/>
      <c r="DS12" s="126"/>
      <c r="DT12" s="123"/>
      <c r="DU12" s="123"/>
      <c r="DV12" s="123"/>
      <c r="DW12" s="144"/>
      <c r="DX12" s="123"/>
      <c r="DY12" s="123"/>
      <c r="DZ12" s="123"/>
      <c r="EA12" s="123"/>
      <c r="EB12" s="124"/>
    </row>
    <row r="13" spans="1:132" ht="12.75" customHeight="1" x14ac:dyDescent="0.15">
      <c r="A13" s="53">
        <v>12</v>
      </c>
      <c r="B13" s="23"/>
      <c r="C13" s="145"/>
      <c r="D13" s="146"/>
      <c r="E13" s="146"/>
      <c r="F13" s="157"/>
      <c r="G13" s="122" t="s">
        <v>23</v>
      </c>
      <c r="H13" s="123"/>
      <c r="I13" s="123"/>
      <c r="J13" s="123"/>
      <c r="K13" s="144"/>
      <c r="L13" s="151"/>
      <c r="M13" s="152"/>
      <c r="N13" s="153"/>
      <c r="O13" s="143" t="e">
        <f>#REF!</f>
        <v>#REF!</v>
      </c>
      <c r="P13" s="141"/>
      <c r="Q13" s="141"/>
      <c r="R13" s="141"/>
      <c r="S13" s="142"/>
      <c r="T13" s="143"/>
      <c r="U13" s="141"/>
      <c r="V13" s="141"/>
      <c r="W13" s="141"/>
      <c r="X13" s="142"/>
      <c r="Y13" s="72"/>
      <c r="Z13" s="73"/>
      <c r="AA13" s="73"/>
      <c r="AB13" s="73"/>
      <c r="AC13" s="74"/>
      <c r="AD13" s="250"/>
      <c r="AE13" s="251"/>
      <c r="AF13" s="251"/>
      <c r="AG13" s="251"/>
      <c r="AH13" s="252"/>
      <c r="AI13" s="143" t="e">
        <f>#REF!</f>
        <v>#REF!</v>
      </c>
      <c r="AJ13" s="141"/>
      <c r="AK13" s="141"/>
      <c r="AL13" s="141"/>
      <c r="AM13" s="142"/>
      <c r="AN13" s="143"/>
      <c r="AO13" s="141"/>
      <c r="AP13" s="141"/>
      <c r="AQ13" s="141"/>
      <c r="AR13" s="142"/>
      <c r="AS13" s="143" t="e">
        <f>AI13</f>
        <v>#REF!</v>
      </c>
      <c r="AT13" s="141"/>
      <c r="AU13" s="141"/>
      <c r="AV13" s="141"/>
      <c r="AW13" s="142"/>
      <c r="AX13" s="143"/>
      <c r="AY13" s="141"/>
      <c r="AZ13" s="141"/>
      <c r="BA13" s="141"/>
      <c r="BB13" s="142"/>
      <c r="BC13" s="143" t="e">
        <f>#REF!</f>
        <v>#REF!</v>
      </c>
      <c r="BD13" s="141"/>
      <c r="BE13" s="141"/>
      <c r="BF13" s="141"/>
      <c r="BG13" s="142"/>
      <c r="BH13" s="143"/>
      <c r="BI13" s="141"/>
      <c r="BJ13" s="141"/>
      <c r="BK13" s="141"/>
      <c r="BL13" s="142"/>
      <c r="BM13" s="143" t="e">
        <f>#REF!</f>
        <v>#REF!</v>
      </c>
      <c r="BN13" s="141"/>
      <c r="BO13" s="141"/>
      <c r="BP13" s="141"/>
      <c r="BQ13" s="142"/>
      <c r="BR13" s="143"/>
      <c r="BS13" s="141"/>
      <c r="BT13" s="141"/>
      <c r="BU13" s="141"/>
      <c r="BV13" s="142"/>
      <c r="BW13" s="143"/>
      <c r="BX13" s="141"/>
      <c r="BY13" s="141"/>
      <c r="BZ13" s="141"/>
      <c r="CA13" s="142"/>
      <c r="CB13" s="143"/>
      <c r="CC13" s="141"/>
      <c r="CD13" s="141"/>
      <c r="CE13" s="141"/>
      <c r="CF13" s="142"/>
      <c r="CG13" s="143">
        <f>BW13*0.9</f>
        <v>0</v>
      </c>
      <c r="CH13" s="141"/>
      <c r="CI13" s="141"/>
      <c r="CJ13" s="141"/>
      <c r="CK13" s="142"/>
      <c r="CL13" s="233"/>
      <c r="CM13" s="240"/>
      <c r="CN13" s="240"/>
      <c r="CO13" s="240"/>
      <c r="CP13" s="241"/>
      <c r="CQ13" s="250"/>
      <c r="CR13" s="251"/>
      <c r="CS13" s="251"/>
      <c r="CT13" s="251"/>
      <c r="CU13" s="252"/>
      <c r="CV13" s="250"/>
      <c r="CW13" s="251"/>
      <c r="CX13" s="251"/>
      <c r="CY13" s="251"/>
      <c r="CZ13" s="252"/>
      <c r="DA13" s="143"/>
      <c r="DB13" s="141"/>
      <c r="DC13" s="141"/>
      <c r="DD13" s="141"/>
      <c r="DE13" s="142"/>
      <c r="DF13" s="143"/>
      <c r="DG13" s="141"/>
      <c r="DH13" s="141"/>
      <c r="DI13" s="141"/>
      <c r="DJ13" s="162"/>
      <c r="DK13" s="66"/>
      <c r="DL13" s="122"/>
      <c r="DM13" s="123"/>
      <c r="DN13" s="123"/>
      <c r="DO13" s="123"/>
      <c r="DP13" s="123"/>
      <c r="DQ13" s="123"/>
      <c r="DR13" s="144"/>
      <c r="DS13" s="126"/>
      <c r="DT13" s="123"/>
      <c r="DU13" s="123"/>
      <c r="DV13" s="123"/>
      <c r="DW13" s="144"/>
      <c r="DX13" s="123"/>
      <c r="DY13" s="123"/>
      <c r="DZ13" s="123"/>
      <c r="EA13" s="123"/>
      <c r="EB13" s="124"/>
    </row>
    <row r="14" spans="1:132" ht="12.75" customHeight="1" x14ac:dyDescent="0.15">
      <c r="A14" s="53">
        <v>13</v>
      </c>
      <c r="B14" s="23"/>
      <c r="C14" s="145"/>
      <c r="D14" s="146"/>
      <c r="E14" s="146"/>
      <c r="F14" s="157"/>
      <c r="G14" s="122" t="s">
        <v>24</v>
      </c>
      <c r="H14" s="123"/>
      <c r="I14" s="123"/>
      <c r="J14" s="123"/>
      <c r="K14" s="144"/>
      <c r="L14" s="126">
        <v>1.244</v>
      </c>
      <c r="M14" s="123"/>
      <c r="N14" s="144"/>
      <c r="O14" s="143" t="e">
        <f>#REF!</f>
        <v>#REF!</v>
      </c>
      <c r="P14" s="141"/>
      <c r="Q14" s="141"/>
      <c r="R14" s="141"/>
      <c r="S14" s="142"/>
      <c r="T14" s="143" t="e">
        <f>L14*O14*$O$26</f>
        <v>#REF!</v>
      </c>
      <c r="U14" s="141"/>
      <c r="V14" s="141"/>
      <c r="W14" s="141"/>
      <c r="X14" s="142"/>
      <c r="Y14" s="250"/>
      <c r="Z14" s="251"/>
      <c r="AA14" s="251"/>
      <c r="AB14" s="251"/>
      <c r="AC14" s="252"/>
      <c r="AD14" s="250"/>
      <c r="AE14" s="251"/>
      <c r="AF14" s="251"/>
      <c r="AG14" s="251"/>
      <c r="AH14" s="252"/>
      <c r="AI14" s="143" t="e">
        <f>#REF!</f>
        <v>#REF!</v>
      </c>
      <c r="AJ14" s="141"/>
      <c r="AK14" s="141"/>
      <c r="AL14" s="141"/>
      <c r="AM14" s="142"/>
      <c r="AN14" s="143" t="e">
        <f>AI14*L14*$AI$26</f>
        <v>#REF!</v>
      </c>
      <c r="AO14" s="141"/>
      <c r="AP14" s="141"/>
      <c r="AQ14" s="141"/>
      <c r="AR14" s="142"/>
      <c r="AS14" s="143" t="e">
        <f>AI14</f>
        <v>#REF!</v>
      </c>
      <c r="AT14" s="141"/>
      <c r="AU14" s="141"/>
      <c r="AV14" s="141"/>
      <c r="AW14" s="142"/>
      <c r="AX14" s="143" t="e">
        <f>AS14*L14*$AS$26</f>
        <v>#REF!</v>
      </c>
      <c r="AY14" s="141"/>
      <c r="AZ14" s="141"/>
      <c r="BA14" s="141"/>
      <c r="BB14" s="142"/>
      <c r="BC14" s="143" t="e">
        <f>#REF!</f>
        <v>#REF!</v>
      </c>
      <c r="BD14" s="141"/>
      <c r="BE14" s="141"/>
      <c r="BF14" s="141"/>
      <c r="BG14" s="142"/>
      <c r="BH14" s="143" t="e">
        <f>BC14*L14*$BC$26</f>
        <v>#REF!</v>
      </c>
      <c r="BI14" s="141"/>
      <c r="BJ14" s="141"/>
      <c r="BK14" s="141"/>
      <c r="BL14" s="142"/>
      <c r="BM14" s="143" t="e">
        <f>#REF!</f>
        <v>#REF!</v>
      </c>
      <c r="BN14" s="141"/>
      <c r="BO14" s="141"/>
      <c r="BP14" s="141"/>
      <c r="BQ14" s="142"/>
      <c r="BR14" s="143" t="e">
        <f>BM14*L14*$BM$26</f>
        <v>#REF!</v>
      </c>
      <c r="BS14" s="141"/>
      <c r="BT14" s="141"/>
      <c r="BU14" s="141"/>
      <c r="BV14" s="142"/>
      <c r="BW14" s="143" t="e">
        <f>#REF!</f>
        <v>#REF!</v>
      </c>
      <c r="BX14" s="141"/>
      <c r="BY14" s="141"/>
      <c r="BZ14" s="141"/>
      <c r="CA14" s="142"/>
      <c r="CB14" s="143" t="e">
        <f>BW14*L14*$BW$26</f>
        <v>#REF!</v>
      </c>
      <c r="CC14" s="141"/>
      <c r="CD14" s="141"/>
      <c r="CE14" s="141"/>
      <c r="CF14" s="142"/>
      <c r="CG14" s="143" t="e">
        <f>BW14*0.9</f>
        <v>#REF!</v>
      </c>
      <c r="CH14" s="141"/>
      <c r="CI14" s="141"/>
      <c r="CJ14" s="141"/>
      <c r="CK14" s="142"/>
      <c r="CL14" s="233"/>
      <c r="CM14" s="240"/>
      <c r="CN14" s="240"/>
      <c r="CO14" s="240"/>
      <c r="CP14" s="241"/>
      <c r="CQ14" s="250"/>
      <c r="CR14" s="251"/>
      <c r="CS14" s="251"/>
      <c r="CT14" s="251"/>
      <c r="CU14" s="252"/>
      <c r="CV14" s="250"/>
      <c r="CW14" s="251"/>
      <c r="CX14" s="251"/>
      <c r="CY14" s="251"/>
      <c r="CZ14" s="252"/>
      <c r="DA14" s="143"/>
      <c r="DB14" s="141"/>
      <c r="DC14" s="141"/>
      <c r="DD14" s="141"/>
      <c r="DE14" s="142"/>
      <c r="DF14" s="143"/>
      <c r="DG14" s="141"/>
      <c r="DH14" s="141"/>
      <c r="DI14" s="141"/>
      <c r="DJ14" s="162"/>
      <c r="DK14" s="66"/>
      <c r="DL14" s="122"/>
      <c r="DM14" s="123"/>
      <c r="DN14" s="123"/>
      <c r="DO14" s="123"/>
      <c r="DP14" s="123"/>
      <c r="DQ14" s="123"/>
      <c r="DR14" s="144"/>
      <c r="DS14" s="126"/>
      <c r="DT14" s="123"/>
      <c r="DU14" s="123"/>
      <c r="DV14" s="123"/>
      <c r="DW14" s="144"/>
      <c r="DX14" s="123"/>
      <c r="DY14" s="123"/>
      <c r="DZ14" s="123"/>
      <c r="EA14" s="123"/>
      <c r="EB14" s="124"/>
    </row>
    <row r="15" spans="1:132" ht="12.75" customHeight="1" x14ac:dyDescent="0.15">
      <c r="A15" s="53">
        <v>14</v>
      </c>
      <c r="B15" s="23"/>
      <c r="C15" s="145"/>
      <c r="D15" s="146"/>
      <c r="E15" s="146"/>
      <c r="F15" s="157"/>
      <c r="G15" s="122" t="s">
        <v>25</v>
      </c>
      <c r="H15" s="123"/>
      <c r="I15" s="123"/>
      <c r="J15" s="123"/>
      <c r="K15" s="144"/>
      <c r="L15" s="126"/>
      <c r="M15" s="123"/>
      <c r="N15" s="144"/>
      <c r="O15" s="143" t="e">
        <f>#REF!</f>
        <v>#REF!</v>
      </c>
      <c r="P15" s="141"/>
      <c r="Q15" s="141"/>
      <c r="R15" s="141"/>
      <c r="S15" s="142"/>
      <c r="T15" s="143"/>
      <c r="U15" s="141"/>
      <c r="V15" s="141"/>
      <c r="W15" s="141"/>
      <c r="X15" s="142"/>
      <c r="Y15" s="250"/>
      <c r="Z15" s="251"/>
      <c r="AA15" s="251"/>
      <c r="AB15" s="251"/>
      <c r="AC15" s="252"/>
      <c r="AD15" s="250"/>
      <c r="AE15" s="251"/>
      <c r="AF15" s="251"/>
      <c r="AG15" s="251"/>
      <c r="AH15" s="252"/>
      <c r="AI15" s="143" t="e">
        <f>#REF!</f>
        <v>#REF!</v>
      </c>
      <c r="AJ15" s="141"/>
      <c r="AK15" s="141"/>
      <c r="AL15" s="141"/>
      <c r="AM15" s="142"/>
      <c r="AN15" s="143"/>
      <c r="AO15" s="141"/>
      <c r="AP15" s="141"/>
      <c r="AQ15" s="141"/>
      <c r="AR15" s="142"/>
      <c r="AS15" s="143" t="e">
        <f>AI15</f>
        <v>#REF!</v>
      </c>
      <c r="AT15" s="141"/>
      <c r="AU15" s="141"/>
      <c r="AV15" s="141"/>
      <c r="AW15" s="142"/>
      <c r="AX15" s="143"/>
      <c r="AY15" s="141"/>
      <c r="AZ15" s="141"/>
      <c r="BA15" s="141"/>
      <c r="BB15" s="142"/>
      <c r="BC15" s="143" t="e">
        <f>#REF!</f>
        <v>#REF!</v>
      </c>
      <c r="BD15" s="141"/>
      <c r="BE15" s="141"/>
      <c r="BF15" s="141"/>
      <c r="BG15" s="142"/>
      <c r="BH15" s="143"/>
      <c r="BI15" s="141"/>
      <c r="BJ15" s="141"/>
      <c r="BK15" s="141"/>
      <c r="BL15" s="142"/>
      <c r="BM15" s="143" t="e">
        <f>#REF!</f>
        <v>#REF!</v>
      </c>
      <c r="BN15" s="141"/>
      <c r="BO15" s="141"/>
      <c r="BP15" s="141"/>
      <c r="BQ15" s="142"/>
      <c r="BR15" s="143"/>
      <c r="BS15" s="141"/>
      <c r="BT15" s="141"/>
      <c r="BU15" s="141"/>
      <c r="BV15" s="142"/>
      <c r="BW15" s="143" t="e">
        <f>#REF!</f>
        <v>#REF!</v>
      </c>
      <c r="BX15" s="141"/>
      <c r="BY15" s="141"/>
      <c r="BZ15" s="141"/>
      <c r="CA15" s="142"/>
      <c r="CB15" s="143"/>
      <c r="CC15" s="141"/>
      <c r="CD15" s="141"/>
      <c r="CE15" s="141"/>
      <c r="CF15" s="142"/>
      <c r="CG15" s="143" t="e">
        <f>BW15*0.9</f>
        <v>#REF!</v>
      </c>
      <c r="CH15" s="141"/>
      <c r="CI15" s="141"/>
      <c r="CJ15" s="141"/>
      <c r="CK15" s="142"/>
      <c r="CL15" s="233"/>
      <c r="CM15" s="240"/>
      <c r="CN15" s="240"/>
      <c r="CO15" s="240"/>
      <c r="CP15" s="241"/>
      <c r="CQ15" s="250"/>
      <c r="CR15" s="251"/>
      <c r="CS15" s="251"/>
      <c r="CT15" s="251"/>
      <c r="CU15" s="252"/>
      <c r="CV15" s="250"/>
      <c r="CW15" s="251"/>
      <c r="CX15" s="251"/>
      <c r="CY15" s="251"/>
      <c r="CZ15" s="252"/>
      <c r="DA15" s="143"/>
      <c r="DB15" s="141"/>
      <c r="DC15" s="141"/>
      <c r="DD15" s="141"/>
      <c r="DE15" s="142"/>
      <c r="DF15" s="143"/>
      <c r="DG15" s="141"/>
      <c r="DH15" s="141"/>
      <c r="DI15" s="141"/>
      <c r="DJ15" s="162"/>
      <c r="DK15" s="66"/>
      <c r="DL15" s="122"/>
      <c r="DM15" s="123"/>
      <c r="DN15" s="123"/>
      <c r="DO15" s="123"/>
      <c r="DP15" s="123"/>
      <c r="DQ15" s="123"/>
      <c r="DR15" s="144"/>
      <c r="DS15" s="126"/>
      <c r="DT15" s="123"/>
      <c r="DU15" s="123"/>
      <c r="DV15" s="123"/>
      <c r="DW15" s="144"/>
      <c r="DX15" s="123"/>
      <c r="DY15" s="123"/>
      <c r="DZ15" s="123"/>
      <c r="EA15" s="123"/>
      <c r="EB15" s="124"/>
    </row>
    <row r="16" spans="1:132" x14ac:dyDescent="0.15">
      <c r="A16" s="53">
        <v>15</v>
      </c>
      <c r="B16" s="23"/>
      <c r="C16" s="145"/>
      <c r="D16" s="146"/>
      <c r="E16" s="146"/>
      <c r="F16" s="157"/>
      <c r="G16" s="122" t="s">
        <v>26</v>
      </c>
      <c r="H16" s="123"/>
      <c r="I16" s="123"/>
      <c r="J16" s="123"/>
      <c r="K16" s="144"/>
      <c r="L16" s="126"/>
      <c r="M16" s="123"/>
      <c r="N16" s="144"/>
      <c r="O16" s="143" t="e">
        <f>#REF!</f>
        <v>#REF!</v>
      </c>
      <c r="P16" s="141"/>
      <c r="Q16" s="141"/>
      <c r="R16" s="141"/>
      <c r="S16" s="142"/>
      <c r="T16" s="143"/>
      <c r="U16" s="141"/>
      <c r="V16" s="141"/>
      <c r="W16" s="141"/>
      <c r="X16" s="142"/>
      <c r="Y16" s="250"/>
      <c r="Z16" s="251"/>
      <c r="AA16" s="251"/>
      <c r="AB16" s="251"/>
      <c r="AC16" s="252"/>
      <c r="AD16" s="250"/>
      <c r="AE16" s="251"/>
      <c r="AF16" s="251"/>
      <c r="AG16" s="251"/>
      <c r="AH16" s="252"/>
      <c r="AI16" s="143" t="e">
        <f>#REF!</f>
        <v>#REF!</v>
      </c>
      <c r="AJ16" s="141"/>
      <c r="AK16" s="141"/>
      <c r="AL16" s="141"/>
      <c r="AM16" s="142"/>
      <c r="AN16" s="143"/>
      <c r="AO16" s="141"/>
      <c r="AP16" s="141"/>
      <c r="AQ16" s="141"/>
      <c r="AR16" s="142"/>
      <c r="AS16" s="143" t="e">
        <f>AI16</f>
        <v>#REF!</v>
      </c>
      <c r="AT16" s="141"/>
      <c r="AU16" s="141"/>
      <c r="AV16" s="141"/>
      <c r="AW16" s="142"/>
      <c r="AX16" s="143"/>
      <c r="AY16" s="141"/>
      <c r="AZ16" s="141"/>
      <c r="BA16" s="141"/>
      <c r="BB16" s="142"/>
      <c r="BC16" s="143" t="e">
        <f>#REF!</f>
        <v>#REF!</v>
      </c>
      <c r="BD16" s="141"/>
      <c r="BE16" s="141"/>
      <c r="BF16" s="141"/>
      <c r="BG16" s="142"/>
      <c r="BH16" s="143"/>
      <c r="BI16" s="141"/>
      <c r="BJ16" s="141"/>
      <c r="BK16" s="141"/>
      <c r="BL16" s="142"/>
      <c r="BM16" s="143" t="e">
        <f>#REF!</f>
        <v>#REF!</v>
      </c>
      <c r="BN16" s="141"/>
      <c r="BO16" s="141"/>
      <c r="BP16" s="141"/>
      <c r="BQ16" s="142"/>
      <c r="BR16" s="143"/>
      <c r="BS16" s="141"/>
      <c r="BT16" s="141"/>
      <c r="BU16" s="141"/>
      <c r="BV16" s="142"/>
      <c r="BW16" s="143" t="e">
        <f>#REF!</f>
        <v>#REF!</v>
      </c>
      <c r="BX16" s="141"/>
      <c r="BY16" s="141"/>
      <c r="BZ16" s="141"/>
      <c r="CA16" s="142"/>
      <c r="CB16" s="143"/>
      <c r="CC16" s="141"/>
      <c r="CD16" s="141"/>
      <c r="CE16" s="141"/>
      <c r="CF16" s="142"/>
      <c r="CG16" s="143" t="e">
        <f>BW16*0.9</f>
        <v>#REF!</v>
      </c>
      <c r="CH16" s="141"/>
      <c r="CI16" s="141"/>
      <c r="CJ16" s="141"/>
      <c r="CK16" s="142"/>
      <c r="CL16" s="233"/>
      <c r="CM16" s="240"/>
      <c r="CN16" s="240"/>
      <c r="CO16" s="240"/>
      <c r="CP16" s="241"/>
      <c r="CQ16" s="250"/>
      <c r="CR16" s="251"/>
      <c r="CS16" s="251"/>
      <c r="CT16" s="251"/>
      <c r="CU16" s="252"/>
      <c r="CV16" s="250"/>
      <c r="CW16" s="251"/>
      <c r="CX16" s="251"/>
      <c r="CY16" s="251"/>
      <c r="CZ16" s="252"/>
      <c r="DA16" s="143"/>
      <c r="DB16" s="141"/>
      <c r="DC16" s="141"/>
      <c r="DD16" s="141"/>
      <c r="DE16" s="142"/>
      <c r="DF16" s="143"/>
      <c r="DG16" s="141"/>
      <c r="DH16" s="141"/>
      <c r="DI16" s="141"/>
      <c r="DJ16" s="162"/>
      <c r="DK16" s="66"/>
      <c r="DL16" s="122"/>
      <c r="DM16" s="123"/>
      <c r="DN16" s="123"/>
      <c r="DO16" s="123"/>
      <c r="DP16" s="123"/>
      <c r="DQ16" s="123"/>
      <c r="DR16" s="144"/>
      <c r="DS16" s="126"/>
      <c r="DT16" s="123"/>
      <c r="DU16" s="123"/>
      <c r="DV16" s="123"/>
      <c r="DW16" s="144"/>
      <c r="DX16" s="123"/>
      <c r="DY16" s="123"/>
      <c r="DZ16" s="123"/>
      <c r="EA16" s="123"/>
      <c r="EB16" s="124"/>
    </row>
    <row r="17" spans="1:132" x14ac:dyDescent="0.15">
      <c r="A17" s="52">
        <v>16</v>
      </c>
      <c r="B17" s="23"/>
      <c r="C17" s="145"/>
      <c r="D17" s="146"/>
      <c r="E17" s="146"/>
      <c r="F17" s="157"/>
      <c r="G17" s="122" t="s">
        <v>27</v>
      </c>
      <c r="H17" s="123"/>
      <c r="I17" s="123"/>
      <c r="J17" s="123"/>
      <c r="K17" s="144"/>
      <c r="L17" s="126"/>
      <c r="M17" s="123"/>
      <c r="N17" s="144"/>
      <c r="O17" s="143" t="e">
        <f>#REF!</f>
        <v>#REF!</v>
      </c>
      <c r="P17" s="141"/>
      <c r="Q17" s="141"/>
      <c r="R17" s="141"/>
      <c r="S17" s="142"/>
      <c r="T17" s="143"/>
      <c r="U17" s="141"/>
      <c r="V17" s="141"/>
      <c r="W17" s="141"/>
      <c r="X17" s="142"/>
      <c r="Y17" s="250"/>
      <c r="Z17" s="251"/>
      <c r="AA17" s="251"/>
      <c r="AB17" s="251"/>
      <c r="AC17" s="252"/>
      <c r="AD17" s="250"/>
      <c r="AE17" s="251"/>
      <c r="AF17" s="251"/>
      <c r="AG17" s="251"/>
      <c r="AH17" s="252"/>
      <c r="AI17" s="143" t="e">
        <f>#REF!</f>
        <v>#REF!</v>
      </c>
      <c r="AJ17" s="141"/>
      <c r="AK17" s="141"/>
      <c r="AL17" s="141"/>
      <c r="AM17" s="142"/>
      <c r="AN17" s="143"/>
      <c r="AO17" s="141"/>
      <c r="AP17" s="141"/>
      <c r="AQ17" s="141"/>
      <c r="AR17" s="142"/>
      <c r="AS17" s="143" t="e">
        <f>AI17</f>
        <v>#REF!</v>
      </c>
      <c r="AT17" s="141"/>
      <c r="AU17" s="141"/>
      <c r="AV17" s="141"/>
      <c r="AW17" s="142"/>
      <c r="AX17" s="143"/>
      <c r="AY17" s="141"/>
      <c r="AZ17" s="141"/>
      <c r="BA17" s="141"/>
      <c r="BB17" s="142"/>
      <c r="BC17" s="143" t="e">
        <f>#REF!</f>
        <v>#REF!</v>
      </c>
      <c r="BD17" s="141"/>
      <c r="BE17" s="141"/>
      <c r="BF17" s="141"/>
      <c r="BG17" s="142"/>
      <c r="BH17" s="143"/>
      <c r="BI17" s="141"/>
      <c r="BJ17" s="141"/>
      <c r="BK17" s="141"/>
      <c r="BL17" s="142"/>
      <c r="BM17" s="143" t="e">
        <f>#REF!</f>
        <v>#REF!</v>
      </c>
      <c r="BN17" s="141"/>
      <c r="BO17" s="141"/>
      <c r="BP17" s="141"/>
      <c r="BQ17" s="142"/>
      <c r="BR17" s="143"/>
      <c r="BS17" s="141"/>
      <c r="BT17" s="141"/>
      <c r="BU17" s="141"/>
      <c r="BV17" s="142"/>
      <c r="BW17" s="143" t="e">
        <f>#REF!</f>
        <v>#REF!</v>
      </c>
      <c r="BX17" s="141"/>
      <c r="BY17" s="141"/>
      <c r="BZ17" s="141"/>
      <c r="CA17" s="142"/>
      <c r="CB17" s="143"/>
      <c r="CC17" s="141"/>
      <c r="CD17" s="141"/>
      <c r="CE17" s="141"/>
      <c r="CF17" s="142"/>
      <c r="CG17" s="143" t="e">
        <f>BW17*0.9</f>
        <v>#REF!</v>
      </c>
      <c r="CH17" s="141"/>
      <c r="CI17" s="141"/>
      <c r="CJ17" s="141"/>
      <c r="CK17" s="142"/>
      <c r="CL17" s="233"/>
      <c r="CM17" s="240"/>
      <c r="CN17" s="240"/>
      <c r="CO17" s="240"/>
      <c r="CP17" s="241"/>
      <c r="CQ17" s="250"/>
      <c r="CR17" s="251"/>
      <c r="CS17" s="251"/>
      <c r="CT17" s="251"/>
      <c r="CU17" s="252"/>
      <c r="CV17" s="250"/>
      <c r="CW17" s="251"/>
      <c r="CX17" s="251"/>
      <c r="CY17" s="251"/>
      <c r="CZ17" s="252"/>
      <c r="DA17" s="143"/>
      <c r="DB17" s="141"/>
      <c r="DC17" s="141"/>
      <c r="DD17" s="141"/>
      <c r="DE17" s="142"/>
      <c r="DF17" s="143"/>
      <c r="DG17" s="141"/>
      <c r="DH17" s="141"/>
      <c r="DI17" s="141"/>
      <c r="DJ17" s="162"/>
      <c r="DK17" s="66"/>
      <c r="DL17" s="122"/>
      <c r="DM17" s="123"/>
      <c r="DN17" s="123"/>
      <c r="DO17" s="123"/>
      <c r="DP17" s="123"/>
      <c r="DQ17" s="123"/>
      <c r="DR17" s="144"/>
      <c r="DS17" s="126"/>
      <c r="DT17" s="123"/>
      <c r="DU17" s="123"/>
      <c r="DV17" s="123"/>
      <c r="DW17" s="144"/>
      <c r="DX17" s="123"/>
      <c r="DY17" s="123"/>
      <c r="DZ17" s="123"/>
      <c r="EA17" s="123"/>
      <c r="EB17" s="124"/>
    </row>
    <row r="18" spans="1:132" x14ac:dyDescent="0.15">
      <c r="A18" s="53">
        <v>17</v>
      </c>
      <c r="B18" s="23"/>
      <c r="C18" s="47"/>
      <c r="D18" s="48"/>
      <c r="E18" s="48"/>
      <c r="F18" s="49"/>
      <c r="G18" s="122" t="s">
        <v>34</v>
      </c>
      <c r="H18" s="123"/>
      <c r="I18" s="123"/>
      <c r="J18" s="123"/>
      <c r="K18" s="144"/>
      <c r="L18" s="126">
        <v>2.57</v>
      </c>
      <c r="M18" s="123"/>
      <c r="N18" s="144"/>
      <c r="O18" s="250"/>
      <c r="P18" s="251"/>
      <c r="Q18" s="251"/>
      <c r="R18" s="251"/>
      <c r="S18" s="252"/>
      <c r="T18" s="250"/>
      <c r="U18" s="251"/>
      <c r="V18" s="251"/>
      <c r="W18" s="251"/>
      <c r="X18" s="252"/>
      <c r="Y18" s="250"/>
      <c r="Z18" s="251"/>
      <c r="AA18" s="251"/>
      <c r="AB18" s="251"/>
      <c r="AC18" s="252"/>
      <c r="AD18" s="250"/>
      <c r="AE18" s="251"/>
      <c r="AF18" s="251"/>
      <c r="AG18" s="251"/>
      <c r="AH18" s="252"/>
      <c r="AI18" s="250"/>
      <c r="AJ18" s="251"/>
      <c r="AK18" s="251"/>
      <c r="AL18" s="251"/>
      <c r="AM18" s="252"/>
      <c r="AN18" s="250"/>
      <c r="AO18" s="251"/>
      <c r="AP18" s="251"/>
      <c r="AQ18" s="251"/>
      <c r="AR18" s="252"/>
      <c r="AS18" s="250"/>
      <c r="AT18" s="251"/>
      <c r="AU18" s="251"/>
      <c r="AV18" s="251"/>
      <c r="AW18" s="252"/>
      <c r="AX18" s="250"/>
      <c r="AY18" s="251"/>
      <c r="AZ18" s="251"/>
      <c r="BA18" s="251"/>
      <c r="BB18" s="252"/>
      <c r="BC18" s="250"/>
      <c r="BD18" s="251"/>
      <c r="BE18" s="251"/>
      <c r="BF18" s="251"/>
      <c r="BG18" s="252"/>
      <c r="BH18" s="250"/>
      <c r="BI18" s="251"/>
      <c r="BJ18" s="251"/>
      <c r="BK18" s="251"/>
      <c r="BL18" s="252"/>
      <c r="BM18" s="250"/>
      <c r="BN18" s="251"/>
      <c r="BO18" s="251"/>
      <c r="BP18" s="251"/>
      <c r="BQ18" s="252"/>
      <c r="BR18" s="250"/>
      <c r="BS18" s="251"/>
      <c r="BT18" s="251"/>
      <c r="BU18" s="251"/>
      <c r="BV18" s="252"/>
      <c r="BW18" s="250"/>
      <c r="BX18" s="251"/>
      <c r="BY18" s="251"/>
      <c r="BZ18" s="251"/>
      <c r="CA18" s="252"/>
      <c r="CB18" s="250"/>
      <c r="CC18" s="251"/>
      <c r="CD18" s="251"/>
      <c r="CE18" s="251"/>
      <c r="CF18" s="252"/>
      <c r="CG18" s="250"/>
      <c r="CH18" s="251"/>
      <c r="CI18" s="251"/>
      <c r="CJ18" s="251"/>
      <c r="CK18" s="252"/>
      <c r="CL18" s="250"/>
      <c r="CM18" s="251"/>
      <c r="CN18" s="251"/>
      <c r="CO18" s="251"/>
      <c r="CP18" s="252"/>
      <c r="CQ18" s="250"/>
      <c r="CR18" s="251"/>
      <c r="CS18" s="251"/>
      <c r="CT18" s="251"/>
      <c r="CU18" s="252"/>
      <c r="CV18" s="250"/>
      <c r="CW18" s="251"/>
      <c r="CX18" s="251"/>
      <c r="CY18" s="251"/>
      <c r="CZ18" s="252"/>
      <c r="DA18" s="143"/>
      <c r="DB18" s="141"/>
      <c r="DC18" s="141"/>
      <c r="DD18" s="141"/>
      <c r="DE18" s="142"/>
      <c r="DF18" s="143"/>
      <c r="DG18" s="141"/>
      <c r="DH18" s="141"/>
      <c r="DI18" s="141"/>
      <c r="DJ18" s="162"/>
      <c r="DK18" s="66"/>
      <c r="DL18" s="122"/>
      <c r="DM18" s="123"/>
      <c r="DN18" s="123"/>
      <c r="DO18" s="123"/>
      <c r="DP18" s="123"/>
      <c r="DQ18" s="123"/>
      <c r="DR18" s="144"/>
      <c r="DS18" s="126"/>
      <c r="DT18" s="123"/>
      <c r="DU18" s="123"/>
      <c r="DV18" s="123"/>
      <c r="DW18" s="144"/>
      <c r="DX18" s="123"/>
      <c r="DY18" s="123"/>
      <c r="DZ18" s="123"/>
      <c r="EA18" s="123"/>
      <c r="EB18" s="124"/>
    </row>
    <row r="19" spans="1:132" x14ac:dyDescent="0.15">
      <c r="A19" s="53">
        <v>18</v>
      </c>
      <c r="B19" s="23"/>
      <c r="C19" s="47"/>
      <c r="D19" s="48"/>
      <c r="E19" s="48"/>
      <c r="F19" s="49"/>
      <c r="G19" s="122" t="s">
        <v>35</v>
      </c>
      <c r="H19" s="123"/>
      <c r="I19" s="123"/>
      <c r="J19" s="123"/>
      <c r="K19" s="144"/>
      <c r="L19" s="126"/>
      <c r="M19" s="123"/>
      <c r="N19" s="144"/>
      <c r="O19" s="250"/>
      <c r="P19" s="251"/>
      <c r="Q19" s="251"/>
      <c r="R19" s="251"/>
      <c r="S19" s="252"/>
      <c r="T19" s="250"/>
      <c r="U19" s="251"/>
      <c r="V19" s="251"/>
      <c r="W19" s="251"/>
      <c r="X19" s="252"/>
      <c r="Y19" s="250"/>
      <c r="Z19" s="251"/>
      <c r="AA19" s="251"/>
      <c r="AB19" s="251"/>
      <c r="AC19" s="252"/>
      <c r="AD19" s="250"/>
      <c r="AE19" s="251"/>
      <c r="AF19" s="251"/>
      <c r="AG19" s="251"/>
      <c r="AH19" s="252"/>
      <c r="AI19" s="250"/>
      <c r="AJ19" s="251"/>
      <c r="AK19" s="251"/>
      <c r="AL19" s="251"/>
      <c r="AM19" s="252"/>
      <c r="AN19" s="250"/>
      <c r="AO19" s="251"/>
      <c r="AP19" s="251"/>
      <c r="AQ19" s="251"/>
      <c r="AR19" s="252"/>
      <c r="AS19" s="250"/>
      <c r="AT19" s="251"/>
      <c r="AU19" s="251"/>
      <c r="AV19" s="251"/>
      <c r="AW19" s="252"/>
      <c r="AX19" s="250"/>
      <c r="AY19" s="251"/>
      <c r="AZ19" s="251"/>
      <c r="BA19" s="251"/>
      <c r="BB19" s="252"/>
      <c r="BC19" s="250"/>
      <c r="BD19" s="251"/>
      <c r="BE19" s="251"/>
      <c r="BF19" s="251"/>
      <c r="BG19" s="252"/>
      <c r="BH19" s="250"/>
      <c r="BI19" s="251"/>
      <c r="BJ19" s="251"/>
      <c r="BK19" s="251"/>
      <c r="BL19" s="252"/>
      <c r="BM19" s="250"/>
      <c r="BN19" s="251"/>
      <c r="BO19" s="251"/>
      <c r="BP19" s="251"/>
      <c r="BQ19" s="252"/>
      <c r="BR19" s="250"/>
      <c r="BS19" s="251"/>
      <c r="BT19" s="251"/>
      <c r="BU19" s="251"/>
      <c r="BV19" s="252"/>
      <c r="BW19" s="250"/>
      <c r="BX19" s="251"/>
      <c r="BY19" s="251"/>
      <c r="BZ19" s="251"/>
      <c r="CA19" s="252"/>
      <c r="CB19" s="250"/>
      <c r="CC19" s="251"/>
      <c r="CD19" s="251"/>
      <c r="CE19" s="251"/>
      <c r="CF19" s="252"/>
      <c r="CG19" s="250"/>
      <c r="CH19" s="251"/>
      <c r="CI19" s="251"/>
      <c r="CJ19" s="251"/>
      <c r="CK19" s="252"/>
      <c r="CL19" s="250"/>
      <c r="CM19" s="251"/>
      <c r="CN19" s="251"/>
      <c r="CO19" s="251"/>
      <c r="CP19" s="252"/>
      <c r="CQ19" s="250"/>
      <c r="CR19" s="251"/>
      <c r="CS19" s="251"/>
      <c r="CT19" s="251"/>
      <c r="CU19" s="252"/>
      <c r="CV19" s="250"/>
      <c r="CW19" s="251"/>
      <c r="CX19" s="251"/>
      <c r="CY19" s="251"/>
      <c r="CZ19" s="252"/>
      <c r="DA19" s="143"/>
      <c r="DB19" s="141"/>
      <c r="DC19" s="141"/>
      <c r="DD19" s="141"/>
      <c r="DE19" s="142"/>
      <c r="DF19" s="143"/>
      <c r="DG19" s="141"/>
      <c r="DH19" s="141"/>
      <c r="DI19" s="141"/>
      <c r="DJ19" s="162"/>
      <c r="DK19" s="66"/>
      <c r="DL19" s="122"/>
      <c r="DM19" s="123"/>
      <c r="DN19" s="123"/>
      <c r="DO19" s="123"/>
      <c r="DP19" s="123"/>
      <c r="DQ19" s="123"/>
      <c r="DR19" s="144"/>
      <c r="DS19" s="126"/>
      <c r="DT19" s="123"/>
      <c r="DU19" s="123"/>
      <c r="DV19" s="123"/>
      <c r="DW19" s="144"/>
      <c r="DX19" s="123"/>
      <c r="DY19" s="123"/>
      <c r="DZ19" s="123"/>
      <c r="EA19" s="123"/>
      <c r="EB19" s="124"/>
    </row>
    <row r="20" spans="1:132" x14ac:dyDescent="0.15">
      <c r="A20" s="53">
        <v>19</v>
      </c>
      <c r="B20" s="23"/>
      <c r="C20" s="47"/>
      <c r="D20" s="48"/>
      <c r="E20" s="48"/>
      <c r="F20" s="49"/>
      <c r="G20" s="122" t="s">
        <v>36</v>
      </c>
      <c r="H20" s="123"/>
      <c r="I20" s="123"/>
      <c r="J20" s="123"/>
      <c r="K20" s="144"/>
      <c r="L20" s="126">
        <v>0.81899999999999995</v>
      </c>
      <c r="M20" s="123"/>
      <c r="N20" s="144"/>
      <c r="O20" s="250"/>
      <c r="P20" s="251"/>
      <c r="Q20" s="251"/>
      <c r="R20" s="251"/>
      <c r="S20" s="252"/>
      <c r="T20" s="250"/>
      <c r="U20" s="251"/>
      <c r="V20" s="251"/>
      <c r="W20" s="251"/>
      <c r="X20" s="252"/>
      <c r="Y20" s="250"/>
      <c r="Z20" s="251"/>
      <c r="AA20" s="251"/>
      <c r="AB20" s="251"/>
      <c r="AC20" s="252"/>
      <c r="AD20" s="250"/>
      <c r="AE20" s="251"/>
      <c r="AF20" s="251"/>
      <c r="AG20" s="251"/>
      <c r="AH20" s="252"/>
      <c r="AI20" s="250"/>
      <c r="AJ20" s="251"/>
      <c r="AK20" s="251"/>
      <c r="AL20" s="251"/>
      <c r="AM20" s="252"/>
      <c r="AN20" s="250"/>
      <c r="AO20" s="251"/>
      <c r="AP20" s="251"/>
      <c r="AQ20" s="251"/>
      <c r="AR20" s="252"/>
      <c r="AS20" s="250"/>
      <c r="AT20" s="251"/>
      <c r="AU20" s="251"/>
      <c r="AV20" s="251"/>
      <c r="AW20" s="252"/>
      <c r="AX20" s="250"/>
      <c r="AY20" s="251"/>
      <c r="AZ20" s="251"/>
      <c r="BA20" s="251"/>
      <c r="BB20" s="252"/>
      <c r="BC20" s="250"/>
      <c r="BD20" s="251"/>
      <c r="BE20" s="251"/>
      <c r="BF20" s="251"/>
      <c r="BG20" s="252"/>
      <c r="BH20" s="250"/>
      <c r="BI20" s="251"/>
      <c r="BJ20" s="251"/>
      <c r="BK20" s="251"/>
      <c r="BL20" s="252"/>
      <c r="BM20" s="250"/>
      <c r="BN20" s="251"/>
      <c r="BO20" s="251"/>
      <c r="BP20" s="251"/>
      <c r="BQ20" s="252"/>
      <c r="BR20" s="250"/>
      <c r="BS20" s="251"/>
      <c r="BT20" s="251"/>
      <c r="BU20" s="251"/>
      <c r="BV20" s="252"/>
      <c r="BW20" s="250"/>
      <c r="BX20" s="251"/>
      <c r="BY20" s="251"/>
      <c r="BZ20" s="251"/>
      <c r="CA20" s="252"/>
      <c r="CB20" s="250"/>
      <c r="CC20" s="251"/>
      <c r="CD20" s="251"/>
      <c r="CE20" s="251"/>
      <c r="CF20" s="252"/>
      <c r="CG20" s="250"/>
      <c r="CH20" s="251"/>
      <c r="CI20" s="251"/>
      <c r="CJ20" s="251"/>
      <c r="CK20" s="252"/>
      <c r="CL20" s="250"/>
      <c r="CM20" s="251"/>
      <c r="CN20" s="251"/>
      <c r="CO20" s="251"/>
      <c r="CP20" s="252"/>
      <c r="CQ20" s="250"/>
      <c r="CR20" s="251"/>
      <c r="CS20" s="251"/>
      <c r="CT20" s="251"/>
      <c r="CU20" s="252"/>
      <c r="CV20" s="250"/>
      <c r="CW20" s="251"/>
      <c r="CX20" s="251"/>
      <c r="CY20" s="251"/>
      <c r="CZ20" s="252"/>
      <c r="DA20" s="143"/>
      <c r="DB20" s="141"/>
      <c r="DC20" s="141"/>
      <c r="DD20" s="141"/>
      <c r="DE20" s="142"/>
      <c r="DF20" s="143"/>
      <c r="DG20" s="141"/>
      <c r="DH20" s="141"/>
      <c r="DI20" s="141"/>
      <c r="DJ20" s="162"/>
      <c r="DK20" s="66"/>
      <c r="DL20" s="122"/>
      <c r="DM20" s="123"/>
      <c r="DN20" s="123"/>
      <c r="DO20" s="123"/>
      <c r="DP20" s="123"/>
      <c r="DQ20" s="123"/>
      <c r="DR20" s="123"/>
      <c r="DS20" s="123"/>
      <c r="DT20" s="123"/>
      <c r="DU20" s="123"/>
      <c r="DV20" s="123"/>
      <c r="DW20" s="144"/>
      <c r="DX20" s="123"/>
      <c r="DY20" s="123"/>
      <c r="DZ20" s="123"/>
      <c r="EA20" s="123"/>
      <c r="EB20" s="124"/>
    </row>
    <row r="21" spans="1:132" x14ac:dyDescent="0.15">
      <c r="A21" s="53">
        <v>20</v>
      </c>
      <c r="B21" s="23"/>
      <c r="C21" s="47"/>
      <c r="D21" s="48"/>
      <c r="E21" s="48"/>
      <c r="F21" s="49"/>
      <c r="G21" s="122" t="s">
        <v>47</v>
      </c>
      <c r="H21" s="123"/>
      <c r="I21" s="123"/>
      <c r="J21" s="123"/>
      <c r="K21" s="144"/>
      <c r="L21" s="126"/>
      <c r="M21" s="123"/>
      <c r="N21" s="144"/>
      <c r="O21" s="250"/>
      <c r="P21" s="251"/>
      <c r="Q21" s="251"/>
      <c r="R21" s="251"/>
      <c r="S21" s="252"/>
      <c r="T21" s="250"/>
      <c r="U21" s="251"/>
      <c r="V21" s="251"/>
      <c r="W21" s="251"/>
      <c r="X21" s="252"/>
      <c r="Y21" s="250"/>
      <c r="Z21" s="251"/>
      <c r="AA21" s="251"/>
      <c r="AB21" s="251"/>
      <c r="AC21" s="252"/>
      <c r="AD21" s="250"/>
      <c r="AE21" s="251"/>
      <c r="AF21" s="251"/>
      <c r="AG21" s="251"/>
      <c r="AH21" s="252"/>
      <c r="AI21" s="250"/>
      <c r="AJ21" s="251"/>
      <c r="AK21" s="251"/>
      <c r="AL21" s="251"/>
      <c r="AM21" s="252"/>
      <c r="AN21" s="250"/>
      <c r="AO21" s="251"/>
      <c r="AP21" s="251"/>
      <c r="AQ21" s="251"/>
      <c r="AR21" s="252"/>
      <c r="AS21" s="250"/>
      <c r="AT21" s="251"/>
      <c r="AU21" s="251"/>
      <c r="AV21" s="251"/>
      <c r="AW21" s="252"/>
      <c r="AX21" s="250"/>
      <c r="AY21" s="251"/>
      <c r="AZ21" s="251"/>
      <c r="BA21" s="251"/>
      <c r="BB21" s="252"/>
      <c r="BC21" s="250"/>
      <c r="BD21" s="251"/>
      <c r="BE21" s="251"/>
      <c r="BF21" s="251"/>
      <c r="BG21" s="252"/>
      <c r="BH21" s="250"/>
      <c r="BI21" s="251"/>
      <c r="BJ21" s="251"/>
      <c r="BK21" s="251"/>
      <c r="BL21" s="252"/>
      <c r="BM21" s="250"/>
      <c r="BN21" s="251"/>
      <c r="BO21" s="251"/>
      <c r="BP21" s="251"/>
      <c r="BQ21" s="252"/>
      <c r="BR21" s="250"/>
      <c r="BS21" s="251"/>
      <c r="BT21" s="251"/>
      <c r="BU21" s="251"/>
      <c r="BV21" s="252"/>
      <c r="BW21" s="143" t="e">
        <f>#REF!</f>
        <v>#REF!</v>
      </c>
      <c r="BX21" s="141"/>
      <c r="BY21" s="141"/>
      <c r="BZ21" s="141"/>
      <c r="CA21" s="142"/>
      <c r="CB21" s="143"/>
      <c r="CC21" s="141"/>
      <c r="CD21" s="141"/>
      <c r="CE21" s="141"/>
      <c r="CF21" s="142"/>
      <c r="CG21" s="143" t="e">
        <f>BW21*0.9</f>
        <v>#REF!</v>
      </c>
      <c r="CH21" s="141"/>
      <c r="CI21" s="141"/>
      <c r="CJ21" s="141"/>
      <c r="CK21" s="142"/>
      <c r="CL21" s="233"/>
      <c r="CM21" s="240"/>
      <c r="CN21" s="240"/>
      <c r="CO21" s="240"/>
      <c r="CP21" s="241"/>
      <c r="CQ21" s="250"/>
      <c r="CR21" s="251"/>
      <c r="CS21" s="251"/>
      <c r="CT21" s="251"/>
      <c r="CU21" s="252"/>
      <c r="CV21" s="250"/>
      <c r="CW21" s="251"/>
      <c r="CX21" s="251"/>
      <c r="CY21" s="251"/>
      <c r="CZ21" s="252"/>
      <c r="DA21" s="143"/>
      <c r="DB21" s="141"/>
      <c r="DC21" s="141"/>
      <c r="DD21" s="141"/>
      <c r="DE21" s="142"/>
      <c r="DF21" s="143"/>
      <c r="DG21" s="141"/>
      <c r="DH21" s="141"/>
      <c r="DI21" s="141"/>
      <c r="DJ21" s="162"/>
      <c r="DK21" s="66"/>
      <c r="DL21" s="122"/>
      <c r="DM21" s="123"/>
      <c r="DN21" s="123"/>
      <c r="DO21" s="123"/>
      <c r="DP21" s="123"/>
      <c r="DQ21" s="123"/>
      <c r="DR21" s="144"/>
      <c r="DS21" s="126"/>
      <c r="DT21" s="123"/>
      <c r="DU21" s="123"/>
      <c r="DV21" s="123"/>
      <c r="DW21" s="144"/>
      <c r="DX21" s="123"/>
      <c r="DY21" s="123"/>
      <c r="DZ21" s="123"/>
      <c r="EA21" s="123"/>
      <c r="EB21" s="124"/>
    </row>
    <row r="22" spans="1:132" x14ac:dyDescent="0.15">
      <c r="A22" s="52">
        <v>21</v>
      </c>
      <c r="B22" s="23"/>
      <c r="C22" s="47"/>
      <c r="D22" s="48"/>
      <c r="E22" s="48"/>
      <c r="F22" s="49"/>
      <c r="G22" s="122" t="s">
        <v>73</v>
      </c>
      <c r="H22" s="123"/>
      <c r="I22" s="123"/>
      <c r="J22" s="123"/>
      <c r="K22" s="144"/>
      <c r="L22" s="126"/>
      <c r="M22" s="123"/>
      <c r="N22" s="144"/>
      <c r="O22" s="250"/>
      <c r="P22" s="251"/>
      <c r="Q22" s="251"/>
      <c r="R22" s="251"/>
      <c r="S22" s="252"/>
      <c r="T22" s="250"/>
      <c r="U22" s="251"/>
      <c r="V22" s="251"/>
      <c r="W22" s="251"/>
      <c r="X22" s="252"/>
      <c r="Y22" s="250"/>
      <c r="Z22" s="251"/>
      <c r="AA22" s="251"/>
      <c r="AB22" s="251"/>
      <c r="AC22" s="252"/>
      <c r="AD22" s="250"/>
      <c r="AE22" s="251"/>
      <c r="AF22" s="251"/>
      <c r="AG22" s="251"/>
      <c r="AH22" s="252"/>
      <c r="AI22" s="250"/>
      <c r="AJ22" s="251"/>
      <c r="AK22" s="251"/>
      <c r="AL22" s="251"/>
      <c r="AM22" s="252"/>
      <c r="AN22" s="250"/>
      <c r="AO22" s="251"/>
      <c r="AP22" s="251"/>
      <c r="AQ22" s="251"/>
      <c r="AR22" s="252"/>
      <c r="AS22" s="250"/>
      <c r="AT22" s="251"/>
      <c r="AU22" s="251"/>
      <c r="AV22" s="251"/>
      <c r="AW22" s="252"/>
      <c r="AX22" s="250"/>
      <c r="AY22" s="251"/>
      <c r="AZ22" s="251"/>
      <c r="BA22" s="251"/>
      <c r="BB22" s="252"/>
      <c r="BC22" s="250"/>
      <c r="BD22" s="251"/>
      <c r="BE22" s="251"/>
      <c r="BF22" s="251"/>
      <c r="BG22" s="252"/>
      <c r="BH22" s="250"/>
      <c r="BI22" s="251"/>
      <c r="BJ22" s="251"/>
      <c r="BK22" s="251"/>
      <c r="BL22" s="252"/>
      <c r="BM22" s="250"/>
      <c r="BN22" s="251"/>
      <c r="BO22" s="251"/>
      <c r="BP22" s="251"/>
      <c r="BQ22" s="252"/>
      <c r="BR22" s="250"/>
      <c r="BS22" s="251"/>
      <c r="BT22" s="251"/>
      <c r="BU22" s="251"/>
      <c r="BV22" s="252"/>
      <c r="BW22" s="250"/>
      <c r="BX22" s="251"/>
      <c r="BY22" s="251"/>
      <c r="BZ22" s="251"/>
      <c r="CA22" s="252"/>
      <c r="CB22" s="250"/>
      <c r="CC22" s="251"/>
      <c r="CD22" s="251"/>
      <c r="CE22" s="251"/>
      <c r="CF22" s="252"/>
      <c r="CG22" s="250"/>
      <c r="CH22" s="251"/>
      <c r="CI22" s="251"/>
      <c r="CJ22" s="251"/>
      <c r="CK22" s="252"/>
      <c r="CL22" s="250"/>
      <c r="CM22" s="251"/>
      <c r="CN22" s="251"/>
      <c r="CO22" s="251"/>
      <c r="CP22" s="252"/>
      <c r="CQ22" s="250"/>
      <c r="CR22" s="251"/>
      <c r="CS22" s="251"/>
      <c r="CT22" s="251"/>
      <c r="CU22" s="252"/>
      <c r="CV22" s="250"/>
      <c r="CW22" s="251"/>
      <c r="CX22" s="251"/>
      <c r="CY22" s="251"/>
      <c r="CZ22" s="252"/>
      <c r="DA22" s="143"/>
      <c r="DB22" s="141"/>
      <c r="DC22" s="141"/>
      <c r="DD22" s="141"/>
      <c r="DE22" s="142"/>
      <c r="DF22" s="143"/>
      <c r="DG22" s="141"/>
      <c r="DH22" s="141"/>
      <c r="DI22" s="141"/>
      <c r="DJ22" s="162"/>
      <c r="DK22" s="66"/>
      <c r="DL22" s="122"/>
      <c r="DM22" s="123"/>
      <c r="DN22" s="123"/>
      <c r="DO22" s="123"/>
      <c r="DP22" s="123"/>
      <c r="DQ22" s="123"/>
      <c r="DR22" s="144"/>
      <c r="DS22" s="126"/>
      <c r="DT22" s="123"/>
      <c r="DU22" s="123"/>
      <c r="DV22" s="123"/>
      <c r="DW22" s="144"/>
      <c r="DX22" s="123"/>
      <c r="DY22" s="123"/>
      <c r="DZ22" s="123"/>
      <c r="EA22" s="123"/>
      <c r="EB22" s="124"/>
    </row>
    <row r="23" spans="1:132" x14ac:dyDescent="0.15">
      <c r="A23" s="53">
        <v>22</v>
      </c>
      <c r="B23" s="23"/>
      <c r="C23" s="47"/>
      <c r="D23" s="48"/>
      <c r="E23" s="48"/>
      <c r="F23" s="49"/>
      <c r="G23" s="122" t="s">
        <v>59</v>
      </c>
      <c r="H23" s="123"/>
      <c r="I23" s="123"/>
      <c r="J23" s="123"/>
      <c r="K23" s="144"/>
      <c r="L23" s="126"/>
      <c r="M23" s="123"/>
      <c r="N23" s="144"/>
      <c r="O23" s="250"/>
      <c r="P23" s="251"/>
      <c r="Q23" s="251"/>
      <c r="R23" s="251"/>
      <c r="S23" s="252"/>
      <c r="T23" s="250"/>
      <c r="U23" s="251"/>
      <c r="V23" s="251"/>
      <c r="W23" s="251"/>
      <c r="X23" s="252"/>
      <c r="Y23" s="250"/>
      <c r="Z23" s="251"/>
      <c r="AA23" s="251"/>
      <c r="AB23" s="251"/>
      <c r="AC23" s="252"/>
      <c r="AD23" s="250"/>
      <c r="AE23" s="251"/>
      <c r="AF23" s="251"/>
      <c r="AG23" s="251"/>
      <c r="AH23" s="252"/>
      <c r="AI23" s="250"/>
      <c r="AJ23" s="251"/>
      <c r="AK23" s="251"/>
      <c r="AL23" s="251"/>
      <c r="AM23" s="252"/>
      <c r="AN23" s="250"/>
      <c r="AO23" s="251"/>
      <c r="AP23" s="251"/>
      <c r="AQ23" s="251"/>
      <c r="AR23" s="252"/>
      <c r="AS23" s="250"/>
      <c r="AT23" s="251"/>
      <c r="AU23" s="251"/>
      <c r="AV23" s="251"/>
      <c r="AW23" s="252"/>
      <c r="AX23" s="250"/>
      <c r="AY23" s="251"/>
      <c r="AZ23" s="251"/>
      <c r="BA23" s="251"/>
      <c r="BB23" s="252"/>
      <c r="BC23" s="250"/>
      <c r="BD23" s="251"/>
      <c r="BE23" s="251"/>
      <c r="BF23" s="251"/>
      <c r="BG23" s="252"/>
      <c r="BH23" s="250"/>
      <c r="BI23" s="251"/>
      <c r="BJ23" s="251"/>
      <c r="BK23" s="251"/>
      <c r="BL23" s="252"/>
      <c r="BM23" s="250"/>
      <c r="BN23" s="251"/>
      <c r="BO23" s="251"/>
      <c r="BP23" s="251"/>
      <c r="BQ23" s="252"/>
      <c r="BR23" s="250"/>
      <c r="BS23" s="251"/>
      <c r="BT23" s="251"/>
      <c r="BU23" s="251"/>
      <c r="BV23" s="252"/>
      <c r="BW23" s="143" t="e">
        <f>#REF!</f>
        <v>#REF!</v>
      </c>
      <c r="BX23" s="141"/>
      <c r="BY23" s="141"/>
      <c r="BZ23" s="141"/>
      <c r="CA23" s="142"/>
      <c r="CB23" s="143"/>
      <c r="CC23" s="141"/>
      <c r="CD23" s="141"/>
      <c r="CE23" s="141"/>
      <c r="CF23" s="142"/>
      <c r="CG23" s="143" t="e">
        <f>BW23*0.9</f>
        <v>#REF!</v>
      </c>
      <c r="CH23" s="141"/>
      <c r="CI23" s="141"/>
      <c r="CJ23" s="141"/>
      <c r="CK23" s="142"/>
      <c r="CL23" s="233"/>
      <c r="CM23" s="240"/>
      <c r="CN23" s="240"/>
      <c r="CO23" s="240"/>
      <c r="CP23" s="241"/>
      <c r="CQ23" s="250"/>
      <c r="CR23" s="251"/>
      <c r="CS23" s="251"/>
      <c r="CT23" s="251"/>
      <c r="CU23" s="252"/>
      <c r="CV23" s="250"/>
      <c r="CW23" s="251"/>
      <c r="CX23" s="251"/>
      <c r="CY23" s="251"/>
      <c r="CZ23" s="252"/>
      <c r="DA23" s="143"/>
      <c r="DB23" s="141"/>
      <c r="DC23" s="141"/>
      <c r="DD23" s="141"/>
      <c r="DE23" s="142"/>
      <c r="DF23" s="143"/>
      <c r="DG23" s="141"/>
      <c r="DH23" s="141"/>
      <c r="DI23" s="141"/>
      <c r="DJ23" s="162"/>
      <c r="DK23" s="66"/>
      <c r="DL23" s="122"/>
      <c r="DM23" s="123"/>
      <c r="DN23" s="123"/>
      <c r="DO23" s="123"/>
      <c r="DP23" s="123"/>
      <c r="DQ23" s="123"/>
      <c r="DR23" s="144"/>
      <c r="DS23" s="126"/>
      <c r="DT23" s="123"/>
      <c r="DU23" s="123"/>
      <c r="DV23" s="123"/>
      <c r="DW23" s="144"/>
      <c r="DX23" s="126"/>
      <c r="DY23" s="123"/>
      <c r="DZ23" s="123"/>
      <c r="EA23" s="123"/>
      <c r="EB23" s="124"/>
    </row>
    <row r="24" spans="1:132" x14ac:dyDescent="0.15">
      <c r="A24" s="53">
        <v>23</v>
      </c>
      <c r="B24" s="23"/>
      <c r="C24" s="145"/>
      <c r="D24" s="146"/>
      <c r="E24" s="146"/>
      <c r="F24" s="157"/>
      <c r="G24" s="122" t="s">
        <v>28</v>
      </c>
      <c r="H24" s="123"/>
      <c r="I24" s="123"/>
      <c r="J24" s="123"/>
      <c r="K24" s="144"/>
      <c r="L24" s="126"/>
      <c r="M24" s="123"/>
      <c r="N24" s="144"/>
      <c r="O24" s="143" t="e">
        <f>#REF!</f>
        <v>#REF!</v>
      </c>
      <c r="P24" s="141"/>
      <c r="Q24" s="141"/>
      <c r="R24" s="141"/>
      <c r="S24" s="142"/>
      <c r="T24" s="143" t="e">
        <f>SUM(T11:X17)</f>
        <v>#REF!</v>
      </c>
      <c r="U24" s="141"/>
      <c r="V24" s="141"/>
      <c r="W24" s="141"/>
      <c r="X24" s="142"/>
      <c r="Y24" s="143" t="e">
        <f>#REF!</f>
        <v>#REF!</v>
      </c>
      <c r="Z24" s="141"/>
      <c r="AA24" s="141"/>
      <c r="AB24" s="141"/>
      <c r="AC24" s="142"/>
      <c r="AD24" s="143"/>
      <c r="AE24" s="141"/>
      <c r="AF24" s="141"/>
      <c r="AG24" s="141"/>
      <c r="AH24" s="142"/>
      <c r="AI24" s="143" t="e">
        <f>#REF!</f>
        <v>#REF!</v>
      </c>
      <c r="AJ24" s="141"/>
      <c r="AK24" s="141"/>
      <c r="AL24" s="141"/>
      <c r="AM24" s="142"/>
      <c r="AN24" s="143" t="e">
        <f>SUM(AN11:AR17)</f>
        <v>#REF!</v>
      </c>
      <c r="AO24" s="141"/>
      <c r="AP24" s="141"/>
      <c r="AQ24" s="141"/>
      <c r="AR24" s="142"/>
      <c r="AS24" s="143" t="e">
        <f>#REF!</f>
        <v>#REF!</v>
      </c>
      <c r="AT24" s="141"/>
      <c r="AU24" s="141"/>
      <c r="AV24" s="141"/>
      <c r="AW24" s="142"/>
      <c r="AX24" s="143" t="e">
        <f>SUM(AX11:BB17)</f>
        <v>#REF!</v>
      </c>
      <c r="AY24" s="141"/>
      <c r="AZ24" s="141"/>
      <c r="BA24" s="141"/>
      <c r="BB24" s="142"/>
      <c r="BC24" s="143" t="e">
        <f>#REF!</f>
        <v>#REF!</v>
      </c>
      <c r="BD24" s="141"/>
      <c r="BE24" s="141"/>
      <c r="BF24" s="141"/>
      <c r="BG24" s="142"/>
      <c r="BH24" s="143" t="e">
        <f>SUM(BH11:BL17)</f>
        <v>#REF!</v>
      </c>
      <c r="BI24" s="141"/>
      <c r="BJ24" s="141"/>
      <c r="BK24" s="141"/>
      <c r="BL24" s="142"/>
      <c r="BM24" s="143" t="e">
        <f>#REF!</f>
        <v>#REF!</v>
      </c>
      <c r="BN24" s="141"/>
      <c r="BO24" s="141"/>
      <c r="BP24" s="141"/>
      <c r="BQ24" s="142"/>
      <c r="BR24" s="143" t="e">
        <f>SUM(BR11:BV17)</f>
        <v>#REF!</v>
      </c>
      <c r="BS24" s="141"/>
      <c r="BT24" s="141"/>
      <c r="BU24" s="141"/>
      <c r="BV24" s="142"/>
      <c r="BW24" s="143" t="e">
        <f>#REF!</f>
        <v>#REF!</v>
      </c>
      <c r="BX24" s="141"/>
      <c r="BY24" s="141"/>
      <c r="BZ24" s="141"/>
      <c r="CA24" s="142"/>
      <c r="CB24" s="143" t="e">
        <f>SUM(CB11:CF23)</f>
        <v>#REF!</v>
      </c>
      <c r="CC24" s="141"/>
      <c r="CD24" s="141"/>
      <c r="CE24" s="141"/>
      <c r="CF24" s="142"/>
      <c r="CG24" s="143" t="e">
        <f>SUM(CG11:CK23)</f>
        <v>#REF!</v>
      </c>
      <c r="CH24" s="141"/>
      <c r="CI24" s="141"/>
      <c r="CJ24" s="141"/>
      <c r="CK24" s="142"/>
      <c r="CL24" s="143" t="e">
        <f>SUM(CL11:CP23)</f>
        <v>#REF!</v>
      </c>
      <c r="CM24" s="141"/>
      <c r="CN24" s="141"/>
      <c r="CO24" s="141"/>
      <c r="CP24" s="142"/>
      <c r="CQ24" s="143" t="e">
        <f>SUM(CQ11:CU23)</f>
        <v>#REF!</v>
      </c>
      <c r="CR24" s="141"/>
      <c r="CS24" s="141"/>
      <c r="CT24" s="141"/>
      <c r="CU24" s="142"/>
      <c r="CV24" s="143">
        <v>0</v>
      </c>
      <c r="CW24" s="141"/>
      <c r="CX24" s="141"/>
      <c r="CY24" s="141"/>
      <c r="CZ24" s="142"/>
      <c r="DA24" s="143"/>
      <c r="DB24" s="141"/>
      <c r="DC24" s="141"/>
      <c r="DD24" s="141"/>
      <c r="DE24" s="142"/>
      <c r="DF24" s="143">
        <v>0</v>
      </c>
      <c r="DG24" s="141"/>
      <c r="DH24" s="141"/>
      <c r="DI24" s="141"/>
      <c r="DJ24" s="162"/>
      <c r="DK24" s="66"/>
      <c r="DL24" s="122"/>
      <c r="DM24" s="123"/>
      <c r="DN24" s="123"/>
      <c r="DO24" s="123"/>
      <c r="DP24" s="123"/>
      <c r="DQ24" s="123"/>
      <c r="DR24" s="144"/>
      <c r="DS24" s="126"/>
      <c r="DT24" s="123"/>
      <c r="DU24" s="123"/>
      <c r="DV24" s="123"/>
      <c r="DW24" s="144"/>
      <c r="DX24" s="126"/>
      <c r="DY24" s="123"/>
      <c r="DZ24" s="123"/>
      <c r="EA24" s="123"/>
      <c r="EB24" s="124"/>
    </row>
    <row r="25" spans="1:132" x14ac:dyDescent="0.15">
      <c r="A25" s="53">
        <v>24</v>
      </c>
      <c r="B25" s="23"/>
      <c r="C25" s="145"/>
      <c r="D25" s="146"/>
      <c r="E25" s="146"/>
      <c r="F25" s="157"/>
      <c r="G25" s="122"/>
      <c r="H25" s="123"/>
      <c r="I25" s="123"/>
      <c r="J25" s="123"/>
      <c r="K25" s="144"/>
      <c r="L25" s="126"/>
      <c r="M25" s="123"/>
      <c r="N25" s="144"/>
      <c r="O25" s="126"/>
      <c r="P25" s="123"/>
      <c r="Q25" s="123"/>
      <c r="R25" s="123"/>
      <c r="S25" s="123"/>
      <c r="T25" s="123"/>
      <c r="U25" s="123"/>
      <c r="V25" s="123"/>
      <c r="W25" s="123"/>
      <c r="X25" s="144"/>
      <c r="Y25" s="126"/>
      <c r="Z25" s="123"/>
      <c r="AA25" s="123"/>
      <c r="AB25" s="123"/>
      <c r="AC25" s="123"/>
      <c r="AD25" s="123"/>
      <c r="AE25" s="123"/>
      <c r="AF25" s="123"/>
      <c r="AG25" s="123"/>
      <c r="AH25" s="144"/>
      <c r="AI25" s="126"/>
      <c r="AJ25" s="123"/>
      <c r="AK25" s="123"/>
      <c r="AL25" s="123"/>
      <c r="AM25" s="123"/>
      <c r="AN25" s="123"/>
      <c r="AO25" s="123"/>
      <c r="AP25" s="123"/>
      <c r="AQ25" s="123"/>
      <c r="AR25" s="144"/>
      <c r="AS25" s="126"/>
      <c r="AT25" s="123"/>
      <c r="AU25" s="123"/>
      <c r="AV25" s="123"/>
      <c r="AW25" s="123"/>
      <c r="AX25" s="123"/>
      <c r="AY25" s="123"/>
      <c r="AZ25" s="123"/>
      <c r="BA25" s="123"/>
      <c r="BB25" s="144"/>
      <c r="BC25" s="126"/>
      <c r="BD25" s="123"/>
      <c r="BE25" s="123"/>
      <c r="BF25" s="123"/>
      <c r="BG25" s="123"/>
      <c r="BH25" s="123"/>
      <c r="BI25" s="123"/>
      <c r="BJ25" s="123"/>
      <c r="BK25" s="123"/>
      <c r="BL25" s="144"/>
      <c r="BM25" s="126"/>
      <c r="BN25" s="123"/>
      <c r="BO25" s="123"/>
      <c r="BP25" s="123"/>
      <c r="BQ25" s="123"/>
      <c r="BR25" s="123"/>
      <c r="BS25" s="123"/>
      <c r="BT25" s="123"/>
      <c r="BU25" s="123"/>
      <c r="BV25" s="144"/>
      <c r="BW25" s="126"/>
      <c r="BX25" s="123"/>
      <c r="BY25" s="123"/>
      <c r="BZ25" s="123"/>
      <c r="CA25" s="123"/>
      <c r="CB25" s="123"/>
      <c r="CC25" s="123"/>
      <c r="CD25" s="123"/>
      <c r="CE25" s="123"/>
      <c r="CF25" s="144"/>
      <c r="CG25" s="126"/>
      <c r="CH25" s="123"/>
      <c r="CI25" s="123"/>
      <c r="CJ25" s="123"/>
      <c r="CK25" s="123"/>
      <c r="CL25" s="123"/>
      <c r="CM25" s="123"/>
      <c r="CN25" s="123"/>
      <c r="CO25" s="123"/>
      <c r="CP25" s="144"/>
      <c r="CQ25" s="126"/>
      <c r="CR25" s="123"/>
      <c r="CS25" s="123"/>
      <c r="CT25" s="123"/>
      <c r="CU25" s="123"/>
      <c r="CV25" s="123"/>
      <c r="CW25" s="123"/>
      <c r="CX25" s="123"/>
      <c r="CY25" s="123"/>
      <c r="CZ25" s="144"/>
      <c r="DA25" s="126"/>
      <c r="DB25" s="123"/>
      <c r="DC25" s="123"/>
      <c r="DD25" s="123"/>
      <c r="DE25" s="123"/>
      <c r="DF25" s="123"/>
      <c r="DG25" s="123"/>
      <c r="DH25" s="123"/>
      <c r="DI25" s="123"/>
      <c r="DJ25" s="124"/>
      <c r="DK25" s="66"/>
      <c r="DL25" s="122"/>
      <c r="DM25" s="123"/>
      <c r="DN25" s="123"/>
      <c r="DO25" s="123"/>
      <c r="DP25" s="123"/>
      <c r="DQ25" s="123"/>
      <c r="DR25" s="144"/>
      <c r="DS25" s="126"/>
      <c r="DT25" s="123"/>
      <c r="DU25" s="123"/>
      <c r="DV25" s="123"/>
      <c r="DW25" s="144"/>
      <c r="DX25" s="126"/>
      <c r="DY25" s="123"/>
      <c r="DZ25" s="123"/>
      <c r="EA25" s="123"/>
      <c r="EB25" s="124"/>
    </row>
    <row r="26" spans="1:132" x14ac:dyDescent="0.15">
      <c r="A26" s="53">
        <v>25</v>
      </c>
      <c r="B26" s="23"/>
      <c r="C26" s="145"/>
      <c r="D26" s="146"/>
      <c r="E26" s="146"/>
      <c r="F26" s="157"/>
      <c r="G26" s="122" t="s">
        <v>158</v>
      </c>
      <c r="H26" s="123"/>
      <c r="I26" s="123"/>
      <c r="J26" s="123"/>
      <c r="K26" s="144"/>
      <c r="L26" s="126"/>
      <c r="M26" s="123"/>
      <c r="N26" s="144"/>
      <c r="O26" s="126">
        <v>0</v>
      </c>
      <c r="P26" s="123"/>
      <c r="Q26" s="123"/>
      <c r="R26" s="123"/>
      <c r="S26" s="123"/>
      <c r="T26" s="123"/>
      <c r="U26" s="123"/>
      <c r="V26" s="123"/>
      <c r="W26" s="123"/>
      <c r="X26" s="144"/>
      <c r="Y26" s="126">
        <v>0</v>
      </c>
      <c r="Z26" s="123"/>
      <c r="AA26" s="123"/>
      <c r="AB26" s="123"/>
      <c r="AC26" s="123"/>
      <c r="AD26" s="123"/>
      <c r="AE26" s="123"/>
      <c r="AF26" s="123"/>
      <c r="AG26" s="123"/>
      <c r="AH26" s="144"/>
      <c r="AI26" s="126">
        <f>20-20</f>
        <v>0</v>
      </c>
      <c r="AJ26" s="123"/>
      <c r="AK26" s="123"/>
      <c r="AL26" s="123"/>
      <c r="AM26" s="123"/>
      <c r="AN26" s="123"/>
      <c r="AO26" s="123"/>
      <c r="AP26" s="123"/>
      <c r="AQ26" s="123"/>
      <c r="AR26" s="144"/>
      <c r="AS26" s="126" t="e">
        <f>#REF!-#REF!</f>
        <v>#REF!</v>
      </c>
      <c r="AT26" s="123"/>
      <c r="AU26" s="123"/>
      <c r="AV26" s="123"/>
      <c r="AW26" s="123"/>
      <c r="AX26" s="123"/>
      <c r="AY26" s="123"/>
      <c r="AZ26" s="123"/>
      <c r="BA26" s="123"/>
      <c r="BB26" s="144"/>
      <c r="BC26" s="126" t="e">
        <f>#REF!-#REF!</f>
        <v>#REF!</v>
      </c>
      <c r="BD26" s="123"/>
      <c r="BE26" s="123"/>
      <c r="BF26" s="123"/>
      <c r="BG26" s="123"/>
      <c r="BH26" s="123"/>
      <c r="BI26" s="123"/>
      <c r="BJ26" s="123"/>
      <c r="BK26" s="123"/>
      <c r="BL26" s="144"/>
      <c r="BM26" s="126" t="e">
        <f>#REF!-#REF!</f>
        <v>#REF!</v>
      </c>
      <c r="BN26" s="123"/>
      <c r="BO26" s="123"/>
      <c r="BP26" s="123"/>
      <c r="BQ26" s="123"/>
      <c r="BR26" s="123"/>
      <c r="BS26" s="123"/>
      <c r="BT26" s="123"/>
      <c r="BU26" s="123"/>
      <c r="BV26" s="144"/>
      <c r="BW26" s="126">
        <f>0</f>
        <v>0</v>
      </c>
      <c r="BX26" s="123"/>
      <c r="BY26" s="123"/>
      <c r="BZ26" s="123"/>
      <c r="CA26" s="123"/>
      <c r="CB26" s="123"/>
      <c r="CC26" s="123"/>
      <c r="CD26" s="123"/>
      <c r="CE26" s="123"/>
      <c r="CF26" s="144"/>
      <c r="CG26" s="126">
        <f>37-95</f>
        <v>-58</v>
      </c>
      <c r="CH26" s="123"/>
      <c r="CI26" s="123"/>
      <c r="CJ26" s="123"/>
      <c r="CK26" s="123"/>
      <c r="CL26" s="123"/>
      <c r="CM26" s="123"/>
      <c r="CN26" s="123"/>
      <c r="CO26" s="123"/>
      <c r="CP26" s="144"/>
      <c r="CQ26" s="254" t="s">
        <v>71</v>
      </c>
      <c r="CR26" s="255"/>
      <c r="CS26" s="255"/>
      <c r="CT26" s="255"/>
      <c r="CU26" s="255"/>
      <c r="CV26" s="255"/>
      <c r="CW26" s="255"/>
      <c r="CX26" s="255"/>
      <c r="CY26" s="255"/>
      <c r="CZ26" s="256"/>
      <c r="DA26" s="254" t="s">
        <v>71</v>
      </c>
      <c r="DB26" s="255"/>
      <c r="DC26" s="255"/>
      <c r="DD26" s="255"/>
      <c r="DE26" s="255"/>
      <c r="DF26" s="255"/>
      <c r="DG26" s="255"/>
      <c r="DH26" s="255"/>
      <c r="DI26" s="255"/>
      <c r="DJ26" s="257"/>
      <c r="DK26" s="66"/>
      <c r="DL26" s="122"/>
      <c r="DM26" s="123"/>
      <c r="DN26" s="123"/>
      <c r="DO26" s="123"/>
      <c r="DP26" s="123"/>
      <c r="DQ26" s="123"/>
      <c r="DR26" s="144"/>
      <c r="DS26" s="126"/>
      <c r="DT26" s="123"/>
      <c r="DU26" s="123"/>
      <c r="DV26" s="123"/>
      <c r="DW26" s="144"/>
      <c r="DX26" s="126"/>
      <c r="DY26" s="123"/>
      <c r="DZ26" s="123"/>
      <c r="EA26" s="123"/>
      <c r="EB26" s="124"/>
    </row>
    <row r="27" spans="1:132" x14ac:dyDescent="0.15">
      <c r="A27" s="52">
        <v>26</v>
      </c>
      <c r="B27" s="23"/>
      <c r="C27" s="145"/>
      <c r="D27" s="146"/>
      <c r="E27" s="146"/>
      <c r="F27" s="157"/>
      <c r="G27" s="109" t="s">
        <v>31</v>
      </c>
      <c r="H27" s="110"/>
      <c r="I27" s="110"/>
      <c r="J27" s="110"/>
      <c r="K27" s="128"/>
      <c r="L27" s="127"/>
      <c r="M27" s="110"/>
      <c r="N27" s="128"/>
      <c r="O27" s="139">
        <v>0</v>
      </c>
      <c r="P27" s="110"/>
      <c r="Q27" s="110"/>
      <c r="R27" s="110"/>
      <c r="S27" s="110"/>
      <c r="T27" s="110"/>
      <c r="U27" s="110"/>
      <c r="V27" s="110"/>
      <c r="W27" s="110"/>
      <c r="X27" s="128"/>
      <c r="Y27" s="127">
        <v>0</v>
      </c>
      <c r="Z27" s="110"/>
      <c r="AA27" s="110"/>
      <c r="AB27" s="110"/>
      <c r="AC27" s="110"/>
      <c r="AD27" s="110"/>
      <c r="AE27" s="110"/>
      <c r="AF27" s="110"/>
      <c r="AG27" s="110"/>
      <c r="AH27" s="128"/>
      <c r="AI27" s="139" t="e">
        <f>AN24</f>
        <v>#REF!</v>
      </c>
      <c r="AJ27" s="110"/>
      <c r="AK27" s="110"/>
      <c r="AL27" s="110"/>
      <c r="AM27" s="110"/>
      <c r="AN27" s="110"/>
      <c r="AO27" s="110"/>
      <c r="AP27" s="110"/>
      <c r="AQ27" s="110"/>
      <c r="AR27" s="128"/>
      <c r="AS27" s="139" t="e">
        <f>AX24</f>
        <v>#REF!</v>
      </c>
      <c r="AT27" s="110"/>
      <c r="AU27" s="110"/>
      <c r="AV27" s="110"/>
      <c r="AW27" s="110"/>
      <c r="AX27" s="110"/>
      <c r="AY27" s="110"/>
      <c r="AZ27" s="110"/>
      <c r="BA27" s="110"/>
      <c r="BB27" s="128"/>
      <c r="BC27" s="139" t="e">
        <f>BH24</f>
        <v>#REF!</v>
      </c>
      <c r="BD27" s="110"/>
      <c r="BE27" s="110"/>
      <c r="BF27" s="110"/>
      <c r="BG27" s="110"/>
      <c r="BH27" s="110"/>
      <c r="BI27" s="110"/>
      <c r="BJ27" s="110"/>
      <c r="BK27" s="110"/>
      <c r="BL27" s="128"/>
      <c r="BM27" s="139" t="e">
        <f>BR24</f>
        <v>#REF!</v>
      </c>
      <c r="BN27" s="110"/>
      <c r="BO27" s="110"/>
      <c r="BP27" s="110"/>
      <c r="BQ27" s="110"/>
      <c r="BR27" s="110"/>
      <c r="BS27" s="110"/>
      <c r="BT27" s="110"/>
      <c r="BU27" s="110"/>
      <c r="BV27" s="128"/>
      <c r="BW27" s="139" t="e">
        <f>CB24</f>
        <v>#REF!</v>
      </c>
      <c r="BX27" s="110"/>
      <c r="BY27" s="110"/>
      <c r="BZ27" s="110"/>
      <c r="CA27" s="110"/>
      <c r="CB27" s="110"/>
      <c r="CC27" s="110"/>
      <c r="CD27" s="110"/>
      <c r="CE27" s="110"/>
      <c r="CF27" s="128"/>
      <c r="CG27" s="139" t="e">
        <f>CL24</f>
        <v>#REF!</v>
      </c>
      <c r="CH27" s="110"/>
      <c r="CI27" s="110"/>
      <c r="CJ27" s="110"/>
      <c r="CK27" s="110"/>
      <c r="CL27" s="110"/>
      <c r="CM27" s="110"/>
      <c r="CN27" s="110"/>
      <c r="CO27" s="110"/>
      <c r="CP27" s="128"/>
      <c r="CQ27" s="127">
        <v>0</v>
      </c>
      <c r="CR27" s="110"/>
      <c r="CS27" s="110"/>
      <c r="CT27" s="110"/>
      <c r="CU27" s="110"/>
      <c r="CV27" s="110"/>
      <c r="CW27" s="110"/>
      <c r="CX27" s="110"/>
      <c r="CY27" s="110"/>
      <c r="CZ27" s="128"/>
      <c r="DA27" s="127">
        <v>0</v>
      </c>
      <c r="DB27" s="110"/>
      <c r="DC27" s="110"/>
      <c r="DD27" s="110"/>
      <c r="DE27" s="110"/>
      <c r="DF27" s="110"/>
      <c r="DG27" s="110"/>
      <c r="DH27" s="110"/>
      <c r="DI27" s="110"/>
      <c r="DJ27" s="111"/>
      <c r="DK27" s="66"/>
      <c r="DL27" s="122"/>
      <c r="DM27" s="123"/>
      <c r="DN27" s="123"/>
      <c r="DO27" s="123"/>
      <c r="DP27" s="123"/>
      <c r="DQ27" s="123"/>
      <c r="DR27" s="144"/>
      <c r="DS27" s="126"/>
      <c r="DT27" s="123"/>
      <c r="DU27" s="123"/>
      <c r="DV27" s="123"/>
      <c r="DW27" s="144"/>
      <c r="DX27" s="126"/>
      <c r="DY27" s="123"/>
      <c r="DZ27" s="123"/>
      <c r="EA27" s="123"/>
      <c r="EB27" s="124"/>
    </row>
    <row r="28" spans="1:132" x14ac:dyDescent="0.15">
      <c r="A28" s="53">
        <v>27</v>
      </c>
      <c r="B28" s="23"/>
      <c r="C28" s="145"/>
      <c r="D28" s="146"/>
      <c r="E28" s="146"/>
      <c r="F28" s="157"/>
      <c r="G28" s="21"/>
      <c r="H28" s="62"/>
      <c r="I28" s="62"/>
      <c r="J28" s="62"/>
      <c r="K28" s="62"/>
      <c r="L28" s="62"/>
      <c r="M28" s="62"/>
      <c r="N28" s="64"/>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10"/>
      <c r="BB28" s="62"/>
      <c r="BC28" s="62"/>
      <c r="BD28" s="62"/>
      <c r="BE28" s="62"/>
      <c r="BF28" s="62"/>
      <c r="BG28" s="62"/>
      <c r="BH28" s="62"/>
      <c r="BI28" s="62"/>
      <c r="BJ28" s="62"/>
      <c r="BK28" s="62"/>
      <c r="BL28" s="62"/>
      <c r="BM28" s="62"/>
      <c r="BN28" s="62"/>
      <c r="BO28" s="62"/>
      <c r="BP28" s="62"/>
      <c r="BQ28" s="62"/>
      <c r="BR28" s="62"/>
      <c r="BS28" s="62"/>
      <c r="BT28" s="62"/>
      <c r="BU28" s="62"/>
      <c r="BV28" s="62"/>
      <c r="BW28" s="62"/>
      <c r="BX28" s="62"/>
      <c r="BY28" s="62"/>
      <c r="BZ28" s="62"/>
      <c r="CA28" s="62"/>
      <c r="CB28" s="62"/>
      <c r="CC28" s="62"/>
      <c r="CD28" s="62"/>
      <c r="CE28" s="62"/>
      <c r="CF28" s="62"/>
      <c r="CG28" s="62"/>
      <c r="CH28" s="62"/>
      <c r="CI28" s="62"/>
      <c r="CJ28" s="62"/>
      <c r="CK28" s="62"/>
      <c r="CL28" s="62"/>
      <c r="CM28" s="62"/>
      <c r="CN28" s="62"/>
      <c r="CO28" s="62"/>
      <c r="CP28" s="62"/>
      <c r="CQ28" s="62"/>
      <c r="CR28" s="62"/>
      <c r="CS28" s="62"/>
      <c r="CT28" s="62"/>
      <c r="CU28" s="62"/>
      <c r="CV28" s="62"/>
      <c r="CW28" s="62"/>
      <c r="CX28" s="62"/>
      <c r="CY28" s="62"/>
      <c r="CZ28" s="62"/>
      <c r="DA28" s="62"/>
      <c r="DB28" s="62"/>
      <c r="DC28" s="62"/>
      <c r="DD28" s="62"/>
      <c r="DE28" s="62"/>
      <c r="DF28" s="62"/>
      <c r="DG28" s="62"/>
      <c r="DH28" s="62"/>
      <c r="DI28" s="62"/>
      <c r="DJ28" s="62"/>
      <c r="DK28" s="57"/>
      <c r="DL28" s="122"/>
      <c r="DM28" s="123"/>
      <c r="DN28" s="123"/>
      <c r="DO28" s="123"/>
      <c r="DP28" s="123"/>
      <c r="DQ28" s="123"/>
      <c r="DR28" s="144"/>
      <c r="DS28" s="126"/>
      <c r="DT28" s="123"/>
      <c r="DU28" s="123"/>
      <c r="DV28" s="123"/>
      <c r="DW28" s="144"/>
      <c r="DX28" s="126"/>
      <c r="DY28" s="123"/>
      <c r="DZ28" s="123"/>
      <c r="EA28" s="123"/>
      <c r="EB28" s="124"/>
    </row>
    <row r="29" spans="1:132" x14ac:dyDescent="0.15">
      <c r="A29" s="53">
        <v>28</v>
      </c>
      <c r="B29" s="23"/>
      <c r="C29" s="145"/>
      <c r="D29" s="146"/>
      <c r="E29" s="146"/>
      <c r="F29" s="157"/>
      <c r="G29" s="147" t="s">
        <v>44</v>
      </c>
      <c r="H29" s="148"/>
      <c r="I29" s="148"/>
      <c r="J29" s="148"/>
      <c r="K29" s="148"/>
      <c r="L29" s="148"/>
      <c r="M29" s="148"/>
      <c r="N29" s="178"/>
      <c r="O29" s="149">
        <v>9</v>
      </c>
      <c r="P29" s="148"/>
      <c r="Q29" s="148"/>
      <c r="R29" s="148"/>
      <c r="S29" s="148"/>
      <c r="T29" s="148"/>
      <c r="U29" s="148"/>
      <c r="V29" s="148"/>
      <c r="W29" s="148"/>
      <c r="X29" s="178"/>
      <c r="Y29" s="149">
        <v>10</v>
      </c>
      <c r="Z29" s="148"/>
      <c r="AA29" s="148"/>
      <c r="AB29" s="148"/>
      <c r="AC29" s="148"/>
      <c r="AD29" s="148"/>
      <c r="AE29" s="148"/>
      <c r="AF29" s="148"/>
      <c r="AG29" s="148"/>
      <c r="AH29" s="178"/>
      <c r="AI29" s="149">
        <v>11</v>
      </c>
      <c r="AJ29" s="148"/>
      <c r="AK29" s="148"/>
      <c r="AL29" s="148"/>
      <c r="AM29" s="148"/>
      <c r="AN29" s="148"/>
      <c r="AO29" s="148"/>
      <c r="AP29" s="148"/>
      <c r="AQ29" s="148"/>
      <c r="AR29" s="178"/>
      <c r="AS29" s="149">
        <v>12</v>
      </c>
      <c r="AT29" s="148"/>
      <c r="AU29" s="148"/>
      <c r="AV29" s="148"/>
      <c r="AW29" s="148"/>
      <c r="AX29" s="148"/>
      <c r="AY29" s="148"/>
      <c r="AZ29" s="148"/>
      <c r="BA29" s="148"/>
      <c r="BB29" s="178"/>
      <c r="BC29" s="149">
        <v>13</v>
      </c>
      <c r="BD29" s="148"/>
      <c r="BE29" s="148"/>
      <c r="BF29" s="148"/>
      <c r="BG29" s="148"/>
      <c r="BH29" s="148"/>
      <c r="BI29" s="148"/>
      <c r="BJ29" s="148"/>
      <c r="BK29" s="148"/>
      <c r="BL29" s="178"/>
      <c r="BM29" s="149">
        <v>14</v>
      </c>
      <c r="BN29" s="148"/>
      <c r="BO29" s="148"/>
      <c r="BP29" s="148"/>
      <c r="BQ29" s="148"/>
      <c r="BR29" s="148"/>
      <c r="BS29" s="148"/>
      <c r="BT29" s="148"/>
      <c r="BU29" s="148"/>
      <c r="BV29" s="178"/>
      <c r="BW29" s="149">
        <v>15</v>
      </c>
      <c r="BX29" s="148"/>
      <c r="BY29" s="148"/>
      <c r="BZ29" s="148"/>
      <c r="CA29" s="148"/>
      <c r="CB29" s="148"/>
      <c r="CC29" s="148"/>
      <c r="CD29" s="148"/>
      <c r="CE29" s="148"/>
      <c r="CF29" s="178"/>
      <c r="CG29" s="149">
        <v>16</v>
      </c>
      <c r="CH29" s="148"/>
      <c r="CI29" s="148"/>
      <c r="CJ29" s="148"/>
      <c r="CK29" s="148"/>
      <c r="CL29" s="148"/>
      <c r="CM29" s="148"/>
      <c r="CN29" s="148"/>
      <c r="CO29" s="148"/>
      <c r="CP29" s="178"/>
      <c r="CQ29" s="149">
        <v>17</v>
      </c>
      <c r="CR29" s="148"/>
      <c r="CS29" s="148"/>
      <c r="CT29" s="148"/>
      <c r="CU29" s="148"/>
      <c r="CV29" s="148"/>
      <c r="CW29" s="148"/>
      <c r="CX29" s="148"/>
      <c r="CY29" s="148"/>
      <c r="CZ29" s="178"/>
      <c r="DA29" s="149">
        <v>18</v>
      </c>
      <c r="DB29" s="148"/>
      <c r="DC29" s="148"/>
      <c r="DD29" s="148"/>
      <c r="DE29" s="148"/>
      <c r="DF29" s="148"/>
      <c r="DG29" s="148"/>
      <c r="DH29" s="148"/>
      <c r="DI29" s="148"/>
      <c r="DJ29" s="150"/>
      <c r="DK29" s="66"/>
      <c r="DL29" s="122"/>
      <c r="DM29" s="123"/>
      <c r="DN29" s="123"/>
      <c r="DO29" s="123"/>
      <c r="DP29" s="123"/>
      <c r="DQ29" s="123"/>
      <c r="DR29" s="123"/>
      <c r="DS29" s="123"/>
      <c r="DT29" s="123"/>
      <c r="DU29" s="123"/>
      <c r="DV29" s="123"/>
      <c r="DW29" s="144"/>
      <c r="DX29" s="126"/>
      <c r="DY29" s="123"/>
      <c r="DZ29" s="123"/>
      <c r="EA29" s="123"/>
      <c r="EB29" s="124"/>
    </row>
    <row r="30" spans="1:132" x14ac:dyDescent="0.15">
      <c r="A30" s="53">
        <v>29</v>
      </c>
      <c r="B30" s="23"/>
      <c r="C30" s="145"/>
      <c r="D30" s="146"/>
      <c r="E30" s="146"/>
      <c r="F30" s="157"/>
      <c r="G30" s="238" t="s">
        <v>45</v>
      </c>
      <c r="H30" s="138"/>
      <c r="I30" s="138"/>
      <c r="J30" s="138"/>
      <c r="K30" s="138"/>
      <c r="L30" s="138"/>
      <c r="M30" s="138"/>
      <c r="N30" s="239"/>
      <c r="O30" s="126" t="s">
        <v>55</v>
      </c>
      <c r="P30" s="123"/>
      <c r="Q30" s="123"/>
      <c r="R30" s="123"/>
      <c r="S30" s="123"/>
      <c r="T30" s="123"/>
      <c r="U30" s="123"/>
      <c r="V30" s="123"/>
      <c r="W30" s="123"/>
      <c r="X30" s="144"/>
      <c r="Y30" s="126" t="s">
        <v>52</v>
      </c>
      <c r="Z30" s="123"/>
      <c r="AA30" s="123"/>
      <c r="AB30" s="123"/>
      <c r="AC30" s="123"/>
      <c r="AD30" s="123"/>
      <c r="AE30" s="123"/>
      <c r="AF30" s="123"/>
      <c r="AG30" s="123"/>
      <c r="AH30" s="144"/>
      <c r="AI30" s="126" t="s">
        <v>53</v>
      </c>
      <c r="AJ30" s="123"/>
      <c r="AK30" s="123"/>
      <c r="AL30" s="123"/>
      <c r="AM30" s="123"/>
      <c r="AN30" s="123"/>
      <c r="AO30" s="123"/>
      <c r="AP30" s="123"/>
      <c r="AQ30" s="123"/>
      <c r="AR30" s="144"/>
      <c r="AS30" s="126" t="s">
        <v>54</v>
      </c>
      <c r="AT30" s="123"/>
      <c r="AU30" s="123"/>
      <c r="AV30" s="123"/>
      <c r="AW30" s="123"/>
      <c r="AX30" s="123"/>
      <c r="AY30" s="123"/>
      <c r="AZ30" s="123"/>
      <c r="BA30" s="123"/>
      <c r="BB30" s="144"/>
      <c r="BC30" s="126" t="s">
        <v>63</v>
      </c>
      <c r="BD30" s="123"/>
      <c r="BE30" s="123"/>
      <c r="BF30" s="123"/>
      <c r="BG30" s="123"/>
      <c r="BH30" s="123"/>
      <c r="BI30" s="123"/>
      <c r="BJ30" s="123"/>
      <c r="BK30" s="123"/>
      <c r="BL30" s="144"/>
      <c r="BM30" s="126" t="s">
        <v>67</v>
      </c>
      <c r="BN30" s="123"/>
      <c r="BO30" s="123"/>
      <c r="BP30" s="123"/>
      <c r="BQ30" s="123"/>
      <c r="BR30" s="123"/>
      <c r="BS30" s="123"/>
      <c r="BT30" s="123"/>
      <c r="BU30" s="123"/>
      <c r="BV30" s="144"/>
      <c r="BW30" s="126" t="s">
        <v>74</v>
      </c>
      <c r="BX30" s="123"/>
      <c r="BY30" s="123"/>
      <c r="BZ30" s="123"/>
      <c r="CA30" s="123"/>
      <c r="CB30" s="123"/>
      <c r="CC30" s="123"/>
      <c r="CD30" s="123"/>
      <c r="CE30" s="123"/>
      <c r="CF30" s="144"/>
      <c r="CG30" s="126" t="s">
        <v>64</v>
      </c>
      <c r="CH30" s="123"/>
      <c r="CI30" s="123"/>
      <c r="CJ30" s="123"/>
      <c r="CK30" s="123"/>
      <c r="CL30" s="123"/>
      <c r="CM30" s="123"/>
      <c r="CN30" s="123"/>
      <c r="CO30" s="123"/>
      <c r="CP30" s="144"/>
      <c r="CQ30" s="126" t="s">
        <v>65</v>
      </c>
      <c r="CR30" s="123"/>
      <c r="CS30" s="123"/>
      <c r="CT30" s="123"/>
      <c r="CU30" s="123"/>
      <c r="CV30" s="123"/>
      <c r="CW30" s="123"/>
      <c r="CX30" s="123"/>
      <c r="CY30" s="123"/>
      <c r="CZ30" s="144"/>
      <c r="DA30" s="126" t="s">
        <v>60</v>
      </c>
      <c r="DB30" s="123"/>
      <c r="DC30" s="123"/>
      <c r="DD30" s="123"/>
      <c r="DE30" s="123"/>
      <c r="DF30" s="123"/>
      <c r="DG30" s="123"/>
      <c r="DH30" s="123"/>
      <c r="DI30" s="123"/>
      <c r="DJ30" s="124"/>
      <c r="DK30" s="66"/>
      <c r="DL30" s="122"/>
      <c r="DM30" s="123"/>
      <c r="DN30" s="123"/>
      <c r="DO30" s="123"/>
      <c r="DP30" s="123"/>
      <c r="DQ30" s="123"/>
      <c r="DR30" s="144"/>
      <c r="DS30" s="236"/>
      <c r="DT30" s="234"/>
      <c r="DU30" s="234"/>
      <c r="DV30" s="234"/>
      <c r="DW30" s="237"/>
      <c r="DX30" s="126"/>
      <c r="DY30" s="123"/>
      <c r="DZ30" s="123"/>
      <c r="EA30" s="123"/>
      <c r="EB30" s="124"/>
    </row>
    <row r="31" spans="1:132" x14ac:dyDescent="0.15">
      <c r="A31" s="53">
        <v>30</v>
      </c>
      <c r="B31" s="23"/>
      <c r="C31" s="145"/>
      <c r="D31" s="146"/>
      <c r="E31" s="146"/>
      <c r="F31" s="157"/>
      <c r="G31" s="122" t="s">
        <v>19</v>
      </c>
      <c r="H31" s="123"/>
      <c r="I31" s="123"/>
      <c r="J31" s="123"/>
      <c r="K31" s="144"/>
      <c r="L31" s="126" t="s">
        <v>78</v>
      </c>
      <c r="M31" s="123"/>
      <c r="N31" s="144"/>
      <c r="O31" s="126" t="s">
        <v>20</v>
      </c>
      <c r="P31" s="123"/>
      <c r="Q31" s="123"/>
      <c r="R31" s="123"/>
      <c r="S31" s="144"/>
      <c r="T31" s="126" t="s">
        <v>76</v>
      </c>
      <c r="U31" s="123"/>
      <c r="V31" s="123"/>
      <c r="W31" s="123"/>
      <c r="X31" s="144"/>
      <c r="Y31" s="126" t="s">
        <v>20</v>
      </c>
      <c r="Z31" s="123"/>
      <c r="AA31" s="123"/>
      <c r="AB31" s="123"/>
      <c r="AC31" s="144"/>
      <c r="AD31" s="126" t="s">
        <v>76</v>
      </c>
      <c r="AE31" s="123"/>
      <c r="AF31" s="123"/>
      <c r="AG31" s="123"/>
      <c r="AH31" s="144"/>
      <c r="AI31" s="126" t="s">
        <v>20</v>
      </c>
      <c r="AJ31" s="123"/>
      <c r="AK31" s="123"/>
      <c r="AL31" s="123"/>
      <c r="AM31" s="144"/>
      <c r="AN31" s="126" t="s">
        <v>76</v>
      </c>
      <c r="AO31" s="123"/>
      <c r="AP31" s="123"/>
      <c r="AQ31" s="123"/>
      <c r="AR31" s="144"/>
      <c r="AS31" s="126" t="s">
        <v>20</v>
      </c>
      <c r="AT31" s="123"/>
      <c r="AU31" s="123"/>
      <c r="AV31" s="123"/>
      <c r="AW31" s="144"/>
      <c r="AX31" s="126" t="s">
        <v>76</v>
      </c>
      <c r="AY31" s="123"/>
      <c r="AZ31" s="123"/>
      <c r="BA31" s="123"/>
      <c r="BB31" s="144"/>
      <c r="BC31" s="126" t="s">
        <v>20</v>
      </c>
      <c r="BD31" s="123"/>
      <c r="BE31" s="123"/>
      <c r="BF31" s="123"/>
      <c r="BG31" s="144"/>
      <c r="BH31" s="126" t="s">
        <v>76</v>
      </c>
      <c r="BI31" s="123"/>
      <c r="BJ31" s="123"/>
      <c r="BK31" s="123"/>
      <c r="BL31" s="144"/>
      <c r="BM31" s="126" t="s">
        <v>20</v>
      </c>
      <c r="BN31" s="123"/>
      <c r="BO31" s="123"/>
      <c r="BP31" s="123"/>
      <c r="BQ31" s="144"/>
      <c r="BR31" s="126" t="s">
        <v>76</v>
      </c>
      <c r="BS31" s="123"/>
      <c r="BT31" s="123"/>
      <c r="BU31" s="123"/>
      <c r="BV31" s="144"/>
      <c r="BW31" s="126" t="s">
        <v>20</v>
      </c>
      <c r="BX31" s="123"/>
      <c r="BY31" s="123"/>
      <c r="BZ31" s="123"/>
      <c r="CA31" s="144"/>
      <c r="CB31" s="126" t="s">
        <v>76</v>
      </c>
      <c r="CC31" s="123"/>
      <c r="CD31" s="123"/>
      <c r="CE31" s="123"/>
      <c r="CF31" s="144"/>
      <c r="CG31" s="126" t="s">
        <v>20</v>
      </c>
      <c r="CH31" s="123"/>
      <c r="CI31" s="123"/>
      <c r="CJ31" s="123"/>
      <c r="CK31" s="144"/>
      <c r="CL31" s="126" t="s">
        <v>76</v>
      </c>
      <c r="CM31" s="123"/>
      <c r="CN31" s="123"/>
      <c r="CO31" s="123"/>
      <c r="CP31" s="144"/>
      <c r="CQ31" s="126" t="s">
        <v>20</v>
      </c>
      <c r="CR31" s="123"/>
      <c r="CS31" s="123"/>
      <c r="CT31" s="123"/>
      <c r="CU31" s="144"/>
      <c r="CV31" s="126" t="s">
        <v>76</v>
      </c>
      <c r="CW31" s="123"/>
      <c r="CX31" s="123"/>
      <c r="CY31" s="123"/>
      <c r="CZ31" s="144"/>
      <c r="DA31" s="126" t="s">
        <v>20</v>
      </c>
      <c r="DB31" s="123"/>
      <c r="DC31" s="123"/>
      <c r="DD31" s="123"/>
      <c r="DE31" s="144"/>
      <c r="DF31" s="126" t="s">
        <v>76</v>
      </c>
      <c r="DG31" s="123"/>
      <c r="DH31" s="123"/>
      <c r="DI31" s="123"/>
      <c r="DJ31" s="144"/>
      <c r="DK31" s="66"/>
      <c r="DL31" s="122"/>
      <c r="DM31" s="123"/>
      <c r="DN31" s="123"/>
      <c r="DO31" s="123"/>
      <c r="DP31" s="123"/>
      <c r="DQ31" s="123"/>
      <c r="DR31" s="144"/>
      <c r="DS31" s="126"/>
      <c r="DT31" s="123"/>
      <c r="DU31" s="123"/>
      <c r="DV31" s="123"/>
      <c r="DW31" s="144"/>
      <c r="DX31" s="126"/>
      <c r="DY31" s="123"/>
      <c r="DZ31" s="123"/>
      <c r="EA31" s="123"/>
      <c r="EB31" s="124"/>
    </row>
    <row r="32" spans="1:132" x14ac:dyDescent="0.15">
      <c r="A32" s="52">
        <v>31</v>
      </c>
      <c r="B32" s="23"/>
      <c r="C32" s="145"/>
      <c r="D32" s="146"/>
      <c r="E32" s="146"/>
      <c r="F32" s="157"/>
      <c r="G32" s="122" t="s">
        <v>68</v>
      </c>
      <c r="H32" s="123"/>
      <c r="I32" s="123"/>
      <c r="J32" s="123"/>
      <c r="K32" s="144"/>
      <c r="L32" s="126">
        <v>4.18</v>
      </c>
      <c r="M32" s="123"/>
      <c r="N32" s="144"/>
      <c r="O32" s="143" t="e">
        <f>#REF!</f>
        <v>#REF!</v>
      </c>
      <c r="P32" s="141"/>
      <c r="Q32" s="141"/>
      <c r="R32" s="141"/>
      <c r="S32" s="142"/>
      <c r="T32" s="126" t="e">
        <f>O32*L32*O47</f>
        <v>#REF!</v>
      </c>
      <c r="U32" s="123"/>
      <c r="V32" s="123"/>
      <c r="W32" s="123"/>
      <c r="X32" s="144"/>
      <c r="Y32" s="250"/>
      <c r="Z32" s="248"/>
      <c r="AA32" s="248"/>
      <c r="AB32" s="248"/>
      <c r="AC32" s="249"/>
      <c r="AD32" s="247"/>
      <c r="AE32" s="248"/>
      <c r="AF32" s="248"/>
      <c r="AG32" s="248"/>
      <c r="AH32" s="249"/>
      <c r="AI32" s="143" t="e">
        <f>#REF!</f>
        <v>#REF!</v>
      </c>
      <c r="AJ32" s="123"/>
      <c r="AK32" s="123"/>
      <c r="AL32" s="123"/>
      <c r="AM32" s="144"/>
      <c r="AN32" s="143" t="e">
        <f>AI32*L32*AI47</f>
        <v>#REF!</v>
      </c>
      <c r="AO32" s="123"/>
      <c r="AP32" s="123"/>
      <c r="AQ32" s="123"/>
      <c r="AR32" s="144"/>
      <c r="AS32" s="143" t="e">
        <f>#REF!</f>
        <v>#REF!</v>
      </c>
      <c r="AT32" s="123"/>
      <c r="AU32" s="123"/>
      <c r="AV32" s="123"/>
      <c r="AW32" s="144"/>
      <c r="AX32" s="126" t="e">
        <f>AS32*L32*AS47</f>
        <v>#REF!</v>
      </c>
      <c r="AY32" s="123"/>
      <c r="AZ32" s="123"/>
      <c r="BA32" s="123"/>
      <c r="BB32" s="144"/>
      <c r="BC32" s="143" t="e">
        <f>#REF!</f>
        <v>#REF!</v>
      </c>
      <c r="BD32" s="123"/>
      <c r="BE32" s="123"/>
      <c r="BF32" s="123"/>
      <c r="BG32" s="144"/>
      <c r="BH32" s="126" t="e">
        <f>BC32*L32*$BC$47</f>
        <v>#REF!</v>
      </c>
      <c r="BI32" s="123"/>
      <c r="BJ32" s="123"/>
      <c r="BK32" s="123"/>
      <c r="BL32" s="144"/>
      <c r="BM32" s="250"/>
      <c r="BN32" s="248"/>
      <c r="BO32" s="248"/>
      <c r="BP32" s="248"/>
      <c r="BQ32" s="249"/>
      <c r="BR32" s="247"/>
      <c r="BS32" s="248"/>
      <c r="BT32" s="248"/>
      <c r="BU32" s="248"/>
      <c r="BV32" s="249"/>
      <c r="BW32" s="250"/>
      <c r="BX32" s="248"/>
      <c r="BY32" s="248"/>
      <c r="BZ32" s="248"/>
      <c r="CA32" s="249"/>
      <c r="CB32" s="247"/>
      <c r="CC32" s="248"/>
      <c r="CD32" s="248"/>
      <c r="CE32" s="248"/>
      <c r="CF32" s="249"/>
      <c r="CG32" s="143" t="e">
        <f>#REF!</f>
        <v>#REF!</v>
      </c>
      <c r="CH32" s="123"/>
      <c r="CI32" s="123"/>
      <c r="CJ32" s="123"/>
      <c r="CK32" s="144"/>
      <c r="CL32" s="143"/>
      <c r="CM32" s="141"/>
      <c r="CN32" s="141"/>
      <c r="CO32" s="141"/>
      <c r="CP32" s="142"/>
      <c r="CQ32" s="250"/>
      <c r="CR32" s="248"/>
      <c r="CS32" s="248"/>
      <c r="CT32" s="248"/>
      <c r="CU32" s="249"/>
      <c r="CV32" s="247"/>
      <c r="CW32" s="248"/>
      <c r="CX32" s="248"/>
      <c r="CY32" s="248"/>
      <c r="CZ32" s="249"/>
      <c r="DA32" s="143" t="e">
        <f>#REF!</f>
        <v>#REF!</v>
      </c>
      <c r="DB32" s="123"/>
      <c r="DC32" s="123"/>
      <c r="DD32" s="123"/>
      <c r="DE32" s="144"/>
      <c r="DF32" s="143"/>
      <c r="DG32" s="123"/>
      <c r="DH32" s="123"/>
      <c r="DI32" s="123"/>
      <c r="DJ32" s="124"/>
      <c r="DK32" s="66"/>
      <c r="DL32" s="122"/>
      <c r="DM32" s="123"/>
      <c r="DN32" s="123"/>
      <c r="DO32" s="123"/>
      <c r="DP32" s="123"/>
      <c r="DQ32" s="123"/>
      <c r="DR32" s="144"/>
      <c r="DS32" s="143"/>
      <c r="DT32" s="123"/>
      <c r="DU32" s="123"/>
      <c r="DV32" s="123"/>
      <c r="DW32" s="144"/>
      <c r="DX32" s="126"/>
      <c r="DY32" s="123"/>
      <c r="DZ32" s="123"/>
      <c r="EA32" s="123"/>
      <c r="EB32" s="124"/>
    </row>
    <row r="33" spans="1:132" x14ac:dyDescent="0.15">
      <c r="A33" s="53">
        <v>32</v>
      </c>
      <c r="B33" s="23"/>
      <c r="C33" s="47"/>
      <c r="D33" s="48"/>
      <c r="E33" s="48"/>
      <c r="F33" s="49"/>
      <c r="G33" s="122" t="s">
        <v>22</v>
      </c>
      <c r="H33" s="123"/>
      <c r="I33" s="123"/>
      <c r="J33" s="123"/>
      <c r="K33" s="144"/>
      <c r="L33" s="126"/>
      <c r="M33" s="123"/>
      <c r="N33" s="144"/>
      <c r="O33" s="250"/>
      <c r="P33" s="251"/>
      <c r="Q33" s="251"/>
      <c r="R33" s="251"/>
      <c r="S33" s="252"/>
      <c r="T33" s="247"/>
      <c r="U33" s="248"/>
      <c r="V33" s="248"/>
      <c r="W33" s="248"/>
      <c r="X33" s="249"/>
      <c r="Y33" s="250"/>
      <c r="Z33" s="248"/>
      <c r="AA33" s="248"/>
      <c r="AB33" s="248"/>
      <c r="AC33" s="249"/>
      <c r="AD33" s="247"/>
      <c r="AE33" s="248"/>
      <c r="AF33" s="248"/>
      <c r="AG33" s="248"/>
      <c r="AH33" s="249"/>
      <c r="AI33" s="250"/>
      <c r="AJ33" s="248"/>
      <c r="AK33" s="248"/>
      <c r="AL33" s="248"/>
      <c r="AM33" s="249"/>
      <c r="AN33" s="250"/>
      <c r="AO33" s="248"/>
      <c r="AP33" s="248"/>
      <c r="AQ33" s="248"/>
      <c r="AR33" s="249"/>
      <c r="AS33" s="250"/>
      <c r="AT33" s="248"/>
      <c r="AU33" s="248"/>
      <c r="AV33" s="248"/>
      <c r="AW33" s="249"/>
      <c r="AX33" s="247"/>
      <c r="AY33" s="248"/>
      <c r="AZ33" s="248"/>
      <c r="BA33" s="248"/>
      <c r="BB33" s="249"/>
      <c r="BC33" s="250"/>
      <c r="BD33" s="248"/>
      <c r="BE33" s="248"/>
      <c r="BF33" s="248"/>
      <c r="BG33" s="249"/>
      <c r="BH33" s="247"/>
      <c r="BI33" s="248"/>
      <c r="BJ33" s="248"/>
      <c r="BK33" s="248"/>
      <c r="BL33" s="249"/>
      <c r="BM33" s="250"/>
      <c r="BN33" s="248"/>
      <c r="BO33" s="248"/>
      <c r="BP33" s="248"/>
      <c r="BQ33" s="249"/>
      <c r="BR33" s="247"/>
      <c r="BS33" s="248"/>
      <c r="BT33" s="248"/>
      <c r="BU33" s="248"/>
      <c r="BV33" s="249"/>
      <c r="BW33" s="250"/>
      <c r="BX33" s="248"/>
      <c r="BY33" s="248"/>
      <c r="BZ33" s="248"/>
      <c r="CA33" s="249"/>
      <c r="CB33" s="247"/>
      <c r="CC33" s="248"/>
      <c r="CD33" s="248"/>
      <c r="CE33" s="248"/>
      <c r="CF33" s="249"/>
      <c r="CG33" s="250"/>
      <c r="CH33" s="248"/>
      <c r="CI33" s="248"/>
      <c r="CJ33" s="248"/>
      <c r="CK33" s="249"/>
      <c r="CL33" s="250"/>
      <c r="CM33" s="251"/>
      <c r="CN33" s="251"/>
      <c r="CO33" s="251"/>
      <c r="CP33" s="252"/>
      <c r="CQ33" s="250"/>
      <c r="CR33" s="248"/>
      <c r="CS33" s="248"/>
      <c r="CT33" s="248"/>
      <c r="CU33" s="249"/>
      <c r="CV33" s="247"/>
      <c r="CW33" s="248"/>
      <c r="CX33" s="248"/>
      <c r="CY33" s="248"/>
      <c r="CZ33" s="249"/>
      <c r="DA33" s="143" t="e">
        <f>#REF!</f>
        <v>#REF!</v>
      </c>
      <c r="DB33" s="123"/>
      <c r="DC33" s="123"/>
      <c r="DD33" s="123"/>
      <c r="DE33" s="144"/>
      <c r="DF33" s="143"/>
      <c r="DG33" s="123"/>
      <c r="DH33" s="123"/>
      <c r="DI33" s="123"/>
      <c r="DJ33" s="124"/>
      <c r="DK33" s="66"/>
      <c r="DL33" s="122"/>
      <c r="DM33" s="123"/>
      <c r="DN33" s="123"/>
      <c r="DO33" s="123"/>
      <c r="DP33" s="123"/>
      <c r="DQ33" s="123"/>
      <c r="DR33" s="144"/>
      <c r="DS33" s="143"/>
      <c r="DT33" s="141"/>
      <c r="DU33" s="141"/>
      <c r="DV33" s="141"/>
      <c r="DW33" s="142"/>
      <c r="DX33" s="126"/>
      <c r="DY33" s="123"/>
      <c r="DZ33" s="123"/>
      <c r="EA33" s="123"/>
      <c r="EB33" s="124"/>
    </row>
    <row r="34" spans="1:132" x14ac:dyDescent="0.15">
      <c r="A34" s="53">
        <v>33</v>
      </c>
      <c r="B34" s="23"/>
      <c r="C34" s="47"/>
      <c r="D34" s="48"/>
      <c r="E34" s="48"/>
      <c r="F34" s="49"/>
      <c r="G34" s="122" t="s">
        <v>23</v>
      </c>
      <c r="H34" s="123"/>
      <c r="I34" s="123"/>
      <c r="J34" s="123"/>
      <c r="K34" s="144"/>
      <c r="L34" s="151"/>
      <c r="M34" s="152"/>
      <c r="N34" s="153"/>
      <c r="O34" s="250"/>
      <c r="P34" s="251"/>
      <c r="Q34" s="251"/>
      <c r="R34" s="251"/>
      <c r="S34" s="252"/>
      <c r="T34" s="247"/>
      <c r="U34" s="248"/>
      <c r="V34" s="248"/>
      <c r="W34" s="248"/>
      <c r="X34" s="249"/>
      <c r="Y34" s="250"/>
      <c r="Z34" s="248"/>
      <c r="AA34" s="248"/>
      <c r="AB34" s="248"/>
      <c r="AC34" s="249"/>
      <c r="AD34" s="247"/>
      <c r="AE34" s="248"/>
      <c r="AF34" s="248"/>
      <c r="AG34" s="248"/>
      <c r="AH34" s="249"/>
      <c r="AI34" s="250"/>
      <c r="AJ34" s="248"/>
      <c r="AK34" s="248"/>
      <c r="AL34" s="248"/>
      <c r="AM34" s="249"/>
      <c r="AN34" s="250"/>
      <c r="AO34" s="248"/>
      <c r="AP34" s="248"/>
      <c r="AQ34" s="248"/>
      <c r="AR34" s="249"/>
      <c r="AS34" s="250"/>
      <c r="AT34" s="248"/>
      <c r="AU34" s="248"/>
      <c r="AV34" s="248"/>
      <c r="AW34" s="249"/>
      <c r="AX34" s="247"/>
      <c r="AY34" s="248"/>
      <c r="AZ34" s="248"/>
      <c r="BA34" s="248"/>
      <c r="BB34" s="249"/>
      <c r="BC34" s="250"/>
      <c r="BD34" s="248"/>
      <c r="BE34" s="248"/>
      <c r="BF34" s="248"/>
      <c r="BG34" s="249"/>
      <c r="BH34" s="247"/>
      <c r="BI34" s="248"/>
      <c r="BJ34" s="248"/>
      <c r="BK34" s="248"/>
      <c r="BL34" s="249"/>
      <c r="BM34" s="250"/>
      <c r="BN34" s="248"/>
      <c r="BO34" s="248"/>
      <c r="BP34" s="248"/>
      <c r="BQ34" s="249"/>
      <c r="BR34" s="247"/>
      <c r="BS34" s="248"/>
      <c r="BT34" s="248"/>
      <c r="BU34" s="248"/>
      <c r="BV34" s="249"/>
      <c r="BW34" s="250"/>
      <c r="BX34" s="248"/>
      <c r="BY34" s="248"/>
      <c r="BZ34" s="248"/>
      <c r="CA34" s="249"/>
      <c r="CB34" s="247"/>
      <c r="CC34" s="248"/>
      <c r="CD34" s="248"/>
      <c r="CE34" s="248"/>
      <c r="CF34" s="249"/>
      <c r="CG34" s="250"/>
      <c r="CH34" s="248"/>
      <c r="CI34" s="248"/>
      <c r="CJ34" s="248"/>
      <c r="CK34" s="249"/>
      <c r="CL34" s="250"/>
      <c r="CM34" s="251"/>
      <c r="CN34" s="251"/>
      <c r="CO34" s="251"/>
      <c r="CP34" s="252"/>
      <c r="CQ34" s="250"/>
      <c r="CR34" s="248"/>
      <c r="CS34" s="248"/>
      <c r="CT34" s="248"/>
      <c r="CU34" s="249"/>
      <c r="CV34" s="247"/>
      <c r="CW34" s="248"/>
      <c r="CX34" s="248"/>
      <c r="CY34" s="248"/>
      <c r="CZ34" s="249"/>
      <c r="DA34" s="250"/>
      <c r="DB34" s="248"/>
      <c r="DC34" s="248"/>
      <c r="DD34" s="248"/>
      <c r="DE34" s="249"/>
      <c r="DF34" s="250"/>
      <c r="DG34" s="248"/>
      <c r="DH34" s="248"/>
      <c r="DI34" s="248"/>
      <c r="DJ34" s="253"/>
      <c r="DK34" s="66"/>
      <c r="DL34" s="122"/>
      <c r="DM34" s="123"/>
      <c r="DN34" s="123"/>
      <c r="DO34" s="123"/>
      <c r="DP34" s="123"/>
      <c r="DQ34" s="123"/>
      <c r="DR34" s="144"/>
      <c r="DS34" s="126"/>
      <c r="DT34" s="123"/>
      <c r="DU34" s="123"/>
      <c r="DV34" s="123"/>
      <c r="DW34" s="144"/>
      <c r="DX34" s="126"/>
      <c r="DY34" s="123"/>
      <c r="DZ34" s="123"/>
      <c r="EA34" s="123"/>
      <c r="EB34" s="124"/>
    </row>
    <row r="35" spans="1:132" x14ac:dyDescent="0.15">
      <c r="A35" s="53">
        <v>34</v>
      </c>
      <c r="B35" s="23"/>
      <c r="C35" s="47"/>
      <c r="D35" s="48"/>
      <c r="E35" s="48"/>
      <c r="F35" s="49"/>
      <c r="G35" s="122" t="s">
        <v>24</v>
      </c>
      <c r="H35" s="123"/>
      <c r="I35" s="123"/>
      <c r="J35" s="123"/>
      <c r="K35" s="144"/>
      <c r="L35" s="126">
        <v>1.244</v>
      </c>
      <c r="M35" s="123"/>
      <c r="N35" s="144"/>
      <c r="O35" s="250"/>
      <c r="P35" s="251"/>
      <c r="Q35" s="251"/>
      <c r="R35" s="251"/>
      <c r="S35" s="252"/>
      <c r="T35" s="247"/>
      <c r="U35" s="248"/>
      <c r="V35" s="248"/>
      <c r="W35" s="248"/>
      <c r="X35" s="249"/>
      <c r="Y35" s="250"/>
      <c r="Z35" s="248"/>
      <c r="AA35" s="248"/>
      <c r="AB35" s="248"/>
      <c r="AC35" s="249"/>
      <c r="AD35" s="247"/>
      <c r="AE35" s="248"/>
      <c r="AF35" s="248"/>
      <c r="AG35" s="248"/>
      <c r="AH35" s="249"/>
      <c r="AI35" s="250"/>
      <c r="AJ35" s="248"/>
      <c r="AK35" s="248"/>
      <c r="AL35" s="248"/>
      <c r="AM35" s="249"/>
      <c r="AN35" s="250"/>
      <c r="AO35" s="248"/>
      <c r="AP35" s="248"/>
      <c r="AQ35" s="248"/>
      <c r="AR35" s="249"/>
      <c r="AS35" s="250"/>
      <c r="AT35" s="248"/>
      <c r="AU35" s="248"/>
      <c r="AV35" s="248"/>
      <c r="AW35" s="249"/>
      <c r="AX35" s="247"/>
      <c r="AY35" s="248"/>
      <c r="AZ35" s="248"/>
      <c r="BA35" s="248"/>
      <c r="BB35" s="249"/>
      <c r="BC35" s="143" t="e">
        <f>#REF!</f>
        <v>#REF!</v>
      </c>
      <c r="BD35" s="123"/>
      <c r="BE35" s="123"/>
      <c r="BF35" s="123"/>
      <c r="BG35" s="144"/>
      <c r="BH35" s="126"/>
      <c r="BI35" s="123"/>
      <c r="BJ35" s="123"/>
      <c r="BK35" s="123"/>
      <c r="BL35" s="144"/>
      <c r="BM35" s="250"/>
      <c r="BN35" s="248"/>
      <c r="BO35" s="248"/>
      <c r="BP35" s="248"/>
      <c r="BQ35" s="249"/>
      <c r="BR35" s="247"/>
      <c r="BS35" s="248"/>
      <c r="BT35" s="248"/>
      <c r="BU35" s="248"/>
      <c r="BV35" s="249"/>
      <c r="BW35" s="250"/>
      <c r="BX35" s="248"/>
      <c r="BY35" s="248"/>
      <c r="BZ35" s="248"/>
      <c r="CA35" s="249"/>
      <c r="CB35" s="247"/>
      <c r="CC35" s="248"/>
      <c r="CD35" s="248"/>
      <c r="CE35" s="248"/>
      <c r="CF35" s="249"/>
      <c r="CG35" s="143" t="e">
        <f>#REF!</f>
        <v>#REF!</v>
      </c>
      <c r="CH35" s="123"/>
      <c r="CI35" s="123"/>
      <c r="CJ35" s="123"/>
      <c r="CK35" s="144"/>
      <c r="CL35" s="143"/>
      <c r="CM35" s="141"/>
      <c r="CN35" s="141"/>
      <c r="CO35" s="141"/>
      <c r="CP35" s="142"/>
      <c r="CQ35" s="250"/>
      <c r="CR35" s="248"/>
      <c r="CS35" s="248"/>
      <c r="CT35" s="248"/>
      <c r="CU35" s="249"/>
      <c r="CV35" s="247"/>
      <c r="CW35" s="248"/>
      <c r="CX35" s="248"/>
      <c r="CY35" s="248"/>
      <c r="CZ35" s="249"/>
      <c r="DA35" s="143" t="e">
        <f>#REF!</f>
        <v>#REF!</v>
      </c>
      <c r="DB35" s="123"/>
      <c r="DC35" s="123"/>
      <c r="DD35" s="123"/>
      <c r="DE35" s="144"/>
      <c r="DF35" s="143"/>
      <c r="DG35" s="123"/>
      <c r="DH35" s="123"/>
      <c r="DI35" s="123"/>
      <c r="DJ35" s="124"/>
      <c r="DK35" s="66"/>
      <c r="DL35" s="122"/>
      <c r="DM35" s="123"/>
      <c r="DN35" s="123"/>
      <c r="DO35" s="123"/>
      <c r="DP35" s="123"/>
      <c r="DQ35" s="123"/>
      <c r="DR35" s="144"/>
      <c r="DS35" s="126"/>
      <c r="DT35" s="123"/>
      <c r="DU35" s="123"/>
      <c r="DV35" s="123"/>
      <c r="DW35" s="144"/>
      <c r="DX35" s="126"/>
      <c r="DY35" s="123"/>
      <c r="DZ35" s="123"/>
      <c r="EA35" s="123"/>
      <c r="EB35" s="124"/>
    </row>
    <row r="36" spans="1:132" x14ac:dyDescent="0.15">
      <c r="A36" s="53">
        <v>35</v>
      </c>
      <c r="B36" s="23"/>
      <c r="C36" s="47"/>
      <c r="D36" s="48"/>
      <c r="E36" s="48"/>
      <c r="F36" s="49"/>
      <c r="G36" s="122" t="s">
        <v>25</v>
      </c>
      <c r="H36" s="123"/>
      <c r="I36" s="123"/>
      <c r="J36" s="123"/>
      <c r="K36" s="144"/>
      <c r="L36" s="126"/>
      <c r="M36" s="123"/>
      <c r="N36" s="144"/>
      <c r="O36" s="250"/>
      <c r="P36" s="251"/>
      <c r="Q36" s="251"/>
      <c r="R36" s="251"/>
      <c r="S36" s="252"/>
      <c r="T36" s="247"/>
      <c r="U36" s="248"/>
      <c r="V36" s="248"/>
      <c r="W36" s="248"/>
      <c r="X36" s="249"/>
      <c r="Y36" s="250"/>
      <c r="Z36" s="248"/>
      <c r="AA36" s="248"/>
      <c r="AB36" s="248"/>
      <c r="AC36" s="249"/>
      <c r="AD36" s="247"/>
      <c r="AE36" s="248"/>
      <c r="AF36" s="248"/>
      <c r="AG36" s="248"/>
      <c r="AH36" s="249"/>
      <c r="AI36" s="250"/>
      <c r="AJ36" s="248"/>
      <c r="AK36" s="248"/>
      <c r="AL36" s="248"/>
      <c r="AM36" s="249"/>
      <c r="AN36" s="250"/>
      <c r="AO36" s="248"/>
      <c r="AP36" s="248"/>
      <c r="AQ36" s="248"/>
      <c r="AR36" s="249"/>
      <c r="AS36" s="250"/>
      <c r="AT36" s="248"/>
      <c r="AU36" s="248"/>
      <c r="AV36" s="248"/>
      <c r="AW36" s="249"/>
      <c r="AX36" s="247"/>
      <c r="AY36" s="248"/>
      <c r="AZ36" s="248"/>
      <c r="BA36" s="248"/>
      <c r="BB36" s="249"/>
      <c r="BC36" s="143" t="e">
        <f>#REF!</f>
        <v>#REF!</v>
      </c>
      <c r="BD36" s="123"/>
      <c r="BE36" s="123"/>
      <c r="BF36" s="123"/>
      <c r="BG36" s="144"/>
      <c r="BH36" s="126"/>
      <c r="BI36" s="123"/>
      <c r="BJ36" s="123"/>
      <c r="BK36" s="123"/>
      <c r="BL36" s="144"/>
      <c r="BM36" s="250"/>
      <c r="BN36" s="248"/>
      <c r="BO36" s="248"/>
      <c r="BP36" s="248"/>
      <c r="BQ36" s="249"/>
      <c r="BR36" s="247"/>
      <c r="BS36" s="248"/>
      <c r="BT36" s="248"/>
      <c r="BU36" s="248"/>
      <c r="BV36" s="249"/>
      <c r="BW36" s="250"/>
      <c r="BX36" s="248"/>
      <c r="BY36" s="248"/>
      <c r="BZ36" s="248"/>
      <c r="CA36" s="249"/>
      <c r="CB36" s="247"/>
      <c r="CC36" s="248"/>
      <c r="CD36" s="248"/>
      <c r="CE36" s="248"/>
      <c r="CF36" s="249"/>
      <c r="CG36" s="143" t="e">
        <f>#REF!</f>
        <v>#REF!</v>
      </c>
      <c r="CH36" s="123"/>
      <c r="CI36" s="123"/>
      <c r="CJ36" s="123"/>
      <c r="CK36" s="144"/>
      <c r="CL36" s="143"/>
      <c r="CM36" s="141"/>
      <c r="CN36" s="141"/>
      <c r="CO36" s="141"/>
      <c r="CP36" s="142"/>
      <c r="CQ36" s="250"/>
      <c r="CR36" s="248"/>
      <c r="CS36" s="248"/>
      <c r="CT36" s="248"/>
      <c r="CU36" s="249"/>
      <c r="CV36" s="247"/>
      <c r="CW36" s="248"/>
      <c r="CX36" s="248"/>
      <c r="CY36" s="248"/>
      <c r="CZ36" s="249"/>
      <c r="DA36" s="143" t="e">
        <f>#REF!</f>
        <v>#REF!</v>
      </c>
      <c r="DB36" s="123"/>
      <c r="DC36" s="123"/>
      <c r="DD36" s="123"/>
      <c r="DE36" s="144"/>
      <c r="DF36" s="143"/>
      <c r="DG36" s="123"/>
      <c r="DH36" s="123"/>
      <c r="DI36" s="123"/>
      <c r="DJ36" s="124"/>
      <c r="DK36" s="66"/>
      <c r="DL36" s="122"/>
      <c r="DM36" s="123"/>
      <c r="DN36" s="123"/>
      <c r="DO36" s="123"/>
      <c r="DP36" s="123"/>
      <c r="DQ36" s="123"/>
      <c r="DR36" s="144"/>
      <c r="DS36" s="126"/>
      <c r="DT36" s="123"/>
      <c r="DU36" s="123"/>
      <c r="DV36" s="123"/>
      <c r="DW36" s="144"/>
      <c r="DX36" s="220"/>
      <c r="DY36" s="221"/>
      <c r="DZ36" s="221"/>
      <c r="EA36" s="221"/>
      <c r="EB36" s="222"/>
    </row>
    <row r="37" spans="1:132" x14ac:dyDescent="0.15">
      <c r="A37" s="52">
        <v>36</v>
      </c>
      <c r="B37" s="23"/>
      <c r="C37" s="47"/>
      <c r="D37" s="48"/>
      <c r="E37" s="48"/>
      <c r="F37" s="49"/>
      <c r="G37" s="122" t="s">
        <v>26</v>
      </c>
      <c r="H37" s="123"/>
      <c r="I37" s="123"/>
      <c r="J37" s="123"/>
      <c r="K37" s="144"/>
      <c r="L37" s="126"/>
      <c r="M37" s="123"/>
      <c r="N37" s="144"/>
      <c r="O37" s="250"/>
      <c r="P37" s="251"/>
      <c r="Q37" s="251"/>
      <c r="R37" s="251"/>
      <c r="S37" s="252"/>
      <c r="T37" s="247"/>
      <c r="U37" s="248"/>
      <c r="V37" s="248"/>
      <c r="W37" s="248"/>
      <c r="X37" s="249"/>
      <c r="Y37" s="250"/>
      <c r="Z37" s="248"/>
      <c r="AA37" s="248"/>
      <c r="AB37" s="248"/>
      <c r="AC37" s="249"/>
      <c r="AD37" s="247"/>
      <c r="AE37" s="248"/>
      <c r="AF37" s="248"/>
      <c r="AG37" s="248"/>
      <c r="AH37" s="249"/>
      <c r="AI37" s="250"/>
      <c r="AJ37" s="248"/>
      <c r="AK37" s="248"/>
      <c r="AL37" s="248"/>
      <c r="AM37" s="249"/>
      <c r="AN37" s="250"/>
      <c r="AO37" s="248"/>
      <c r="AP37" s="248"/>
      <c r="AQ37" s="248"/>
      <c r="AR37" s="249"/>
      <c r="AS37" s="250"/>
      <c r="AT37" s="248"/>
      <c r="AU37" s="248"/>
      <c r="AV37" s="248"/>
      <c r="AW37" s="249"/>
      <c r="AX37" s="247"/>
      <c r="AY37" s="248"/>
      <c r="AZ37" s="248"/>
      <c r="BA37" s="248"/>
      <c r="BB37" s="249"/>
      <c r="BC37" s="143" t="e">
        <f>#REF!</f>
        <v>#REF!</v>
      </c>
      <c r="BD37" s="123"/>
      <c r="BE37" s="123"/>
      <c r="BF37" s="123"/>
      <c r="BG37" s="144"/>
      <c r="BH37" s="126"/>
      <c r="BI37" s="123"/>
      <c r="BJ37" s="123"/>
      <c r="BK37" s="123"/>
      <c r="BL37" s="144"/>
      <c r="BM37" s="250"/>
      <c r="BN37" s="248"/>
      <c r="BO37" s="248"/>
      <c r="BP37" s="248"/>
      <c r="BQ37" s="249"/>
      <c r="BR37" s="247"/>
      <c r="BS37" s="248"/>
      <c r="BT37" s="248"/>
      <c r="BU37" s="248"/>
      <c r="BV37" s="249"/>
      <c r="BW37" s="250"/>
      <c r="BX37" s="248"/>
      <c r="BY37" s="248"/>
      <c r="BZ37" s="248"/>
      <c r="CA37" s="249"/>
      <c r="CB37" s="247"/>
      <c r="CC37" s="248"/>
      <c r="CD37" s="248"/>
      <c r="CE37" s="248"/>
      <c r="CF37" s="249"/>
      <c r="CG37" s="143" t="e">
        <f>#REF!</f>
        <v>#REF!</v>
      </c>
      <c r="CH37" s="123"/>
      <c r="CI37" s="123"/>
      <c r="CJ37" s="123"/>
      <c r="CK37" s="144"/>
      <c r="CL37" s="143"/>
      <c r="CM37" s="141"/>
      <c r="CN37" s="141"/>
      <c r="CO37" s="141"/>
      <c r="CP37" s="142"/>
      <c r="CQ37" s="250"/>
      <c r="CR37" s="248"/>
      <c r="CS37" s="248"/>
      <c r="CT37" s="248"/>
      <c r="CU37" s="249"/>
      <c r="CV37" s="247"/>
      <c r="CW37" s="248"/>
      <c r="CX37" s="248"/>
      <c r="CY37" s="248"/>
      <c r="CZ37" s="249"/>
      <c r="DA37" s="143" t="e">
        <f>#REF!</f>
        <v>#REF!</v>
      </c>
      <c r="DB37" s="123"/>
      <c r="DC37" s="123"/>
      <c r="DD37" s="123"/>
      <c r="DE37" s="144"/>
      <c r="DF37" s="143"/>
      <c r="DG37" s="123"/>
      <c r="DH37" s="123"/>
      <c r="DI37" s="123"/>
      <c r="DJ37" s="124"/>
      <c r="DK37" s="66"/>
      <c r="DL37" s="122"/>
      <c r="DM37" s="123"/>
      <c r="DN37" s="123"/>
      <c r="DO37" s="123"/>
      <c r="DP37" s="123"/>
      <c r="DQ37" s="123"/>
      <c r="DR37" s="144"/>
      <c r="DS37" s="126"/>
      <c r="DT37" s="123"/>
      <c r="DU37" s="123"/>
      <c r="DV37" s="123"/>
      <c r="DW37" s="144"/>
      <c r="DX37" s="126"/>
      <c r="DY37" s="123"/>
      <c r="DZ37" s="123"/>
      <c r="EA37" s="123"/>
      <c r="EB37" s="124"/>
    </row>
    <row r="38" spans="1:132" x14ac:dyDescent="0.15">
      <c r="A38" s="53">
        <v>37</v>
      </c>
      <c r="B38" s="23"/>
      <c r="C38" s="47"/>
      <c r="D38" s="48"/>
      <c r="E38" s="48"/>
      <c r="F38" s="49"/>
      <c r="G38" s="122" t="s">
        <v>27</v>
      </c>
      <c r="H38" s="123"/>
      <c r="I38" s="123"/>
      <c r="J38" s="123"/>
      <c r="K38" s="144"/>
      <c r="L38" s="126"/>
      <c r="M38" s="123"/>
      <c r="N38" s="144"/>
      <c r="O38" s="250"/>
      <c r="P38" s="251"/>
      <c r="Q38" s="251"/>
      <c r="R38" s="251"/>
      <c r="S38" s="252"/>
      <c r="T38" s="247"/>
      <c r="U38" s="248"/>
      <c r="V38" s="248"/>
      <c r="W38" s="248"/>
      <c r="X38" s="249"/>
      <c r="Y38" s="250"/>
      <c r="Z38" s="248"/>
      <c r="AA38" s="248"/>
      <c r="AB38" s="248"/>
      <c r="AC38" s="249"/>
      <c r="AD38" s="247"/>
      <c r="AE38" s="248"/>
      <c r="AF38" s="248"/>
      <c r="AG38" s="248"/>
      <c r="AH38" s="249"/>
      <c r="AI38" s="250"/>
      <c r="AJ38" s="248"/>
      <c r="AK38" s="248"/>
      <c r="AL38" s="248"/>
      <c r="AM38" s="249"/>
      <c r="AN38" s="250"/>
      <c r="AO38" s="248"/>
      <c r="AP38" s="248"/>
      <c r="AQ38" s="248"/>
      <c r="AR38" s="249"/>
      <c r="AS38" s="250"/>
      <c r="AT38" s="248"/>
      <c r="AU38" s="248"/>
      <c r="AV38" s="248"/>
      <c r="AW38" s="249"/>
      <c r="AX38" s="247"/>
      <c r="AY38" s="248"/>
      <c r="AZ38" s="248"/>
      <c r="BA38" s="248"/>
      <c r="BB38" s="249"/>
      <c r="BC38" s="143" t="e">
        <f>#REF!</f>
        <v>#REF!</v>
      </c>
      <c r="BD38" s="123"/>
      <c r="BE38" s="123"/>
      <c r="BF38" s="123"/>
      <c r="BG38" s="144"/>
      <c r="BH38" s="126"/>
      <c r="BI38" s="123"/>
      <c r="BJ38" s="123"/>
      <c r="BK38" s="123"/>
      <c r="BL38" s="144"/>
      <c r="BM38" s="250"/>
      <c r="BN38" s="248"/>
      <c r="BO38" s="248"/>
      <c r="BP38" s="248"/>
      <c r="BQ38" s="249"/>
      <c r="BR38" s="247"/>
      <c r="BS38" s="248"/>
      <c r="BT38" s="248"/>
      <c r="BU38" s="248"/>
      <c r="BV38" s="249"/>
      <c r="BW38" s="250"/>
      <c r="BX38" s="248"/>
      <c r="BY38" s="248"/>
      <c r="BZ38" s="248"/>
      <c r="CA38" s="249"/>
      <c r="CB38" s="247"/>
      <c r="CC38" s="248"/>
      <c r="CD38" s="248"/>
      <c r="CE38" s="248"/>
      <c r="CF38" s="249"/>
      <c r="CG38" s="143" t="e">
        <f>#REF!</f>
        <v>#REF!</v>
      </c>
      <c r="CH38" s="123"/>
      <c r="CI38" s="123"/>
      <c r="CJ38" s="123"/>
      <c r="CK38" s="144"/>
      <c r="CL38" s="143"/>
      <c r="CM38" s="141"/>
      <c r="CN38" s="141"/>
      <c r="CO38" s="141"/>
      <c r="CP38" s="142"/>
      <c r="CQ38" s="250"/>
      <c r="CR38" s="248"/>
      <c r="CS38" s="248"/>
      <c r="CT38" s="248"/>
      <c r="CU38" s="249"/>
      <c r="CV38" s="247"/>
      <c r="CW38" s="248"/>
      <c r="CX38" s="248"/>
      <c r="CY38" s="248"/>
      <c r="CZ38" s="249"/>
      <c r="DA38" s="143" t="e">
        <f>#REF!</f>
        <v>#REF!</v>
      </c>
      <c r="DB38" s="123"/>
      <c r="DC38" s="123"/>
      <c r="DD38" s="123"/>
      <c r="DE38" s="144"/>
      <c r="DF38" s="143"/>
      <c r="DG38" s="123"/>
      <c r="DH38" s="123"/>
      <c r="DI38" s="123"/>
      <c r="DJ38" s="124"/>
      <c r="DK38" s="66"/>
      <c r="DL38" s="122"/>
      <c r="DM38" s="123"/>
      <c r="DN38" s="123"/>
      <c r="DO38" s="123"/>
      <c r="DP38" s="123"/>
      <c r="DQ38" s="123"/>
      <c r="DR38" s="144"/>
      <c r="DS38" s="126"/>
      <c r="DT38" s="123"/>
      <c r="DU38" s="123"/>
      <c r="DV38" s="123"/>
      <c r="DW38" s="144"/>
      <c r="DX38" s="126"/>
      <c r="DY38" s="123"/>
      <c r="DZ38" s="123"/>
      <c r="EA38" s="123"/>
      <c r="EB38" s="124"/>
    </row>
    <row r="39" spans="1:132" x14ac:dyDescent="0.15">
      <c r="A39" s="53">
        <v>38</v>
      </c>
      <c r="B39" s="23"/>
      <c r="C39" s="47"/>
      <c r="D39" s="48"/>
      <c r="E39" s="48"/>
      <c r="F39" s="49"/>
      <c r="G39" s="122" t="s">
        <v>34</v>
      </c>
      <c r="H39" s="123"/>
      <c r="I39" s="123"/>
      <c r="J39" s="123"/>
      <c r="K39" s="144"/>
      <c r="L39" s="126">
        <v>2.57</v>
      </c>
      <c r="M39" s="123"/>
      <c r="N39" s="144"/>
      <c r="O39" s="250"/>
      <c r="P39" s="251"/>
      <c r="Q39" s="251"/>
      <c r="R39" s="251"/>
      <c r="S39" s="252"/>
      <c r="T39" s="247"/>
      <c r="U39" s="248"/>
      <c r="V39" s="248"/>
      <c r="W39" s="248"/>
      <c r="X39" s="249"/>
      <c r="Y39" s="250"/>
      <c r="Z39" s="248"/>
      <c r="AA39" s="248"/>
      <c r="AB39" s="248"/>
      <c r="AC39" s="249"/>
      <c r="AD39" s="247"/>
      <c r="AE39" s="248"/>
      <c r="AF39" s="248"/>
      <c r="AG39" s="248"/>
      <c r="AH39" s="249"/>
      <c r="AI39" s="250"/>
      <c r="AJ39" s="248"/>
      <c r="AK39" s="248"/>
      <c r="AL39" s="248"/>
      <c r="AM39" s="249"/>
      <c r="AN39" s="250"/>
      <c r="AO39" s="248"/>
      <c r="AP39" s="248"/>
      <c r="AQ39" s="248"/>
      <c r="AR39" s="249"/>
      <c r="AS39" s="250"/>
      <c r="AT39" s="248"/>
      <c r="AU39" s="248"/>
      <c r="AV39" s="248"/>
      <c r="AW39" s="249"/>
      <c r="AX39" s="247"/>
      <c r="AY39" s="248"/>
      <c r="AZ39" s="248"/>
      <c r="BA39" s="248"/>
      <c r="BB39" s="249"/>
      <c r="BC39" s="250"/>
      <c r="BD39" s="248"/>
      <c r="BE39" s="248"/>
      <c r="BF39" s="248"/>
      <c r="BG39" s="249"/>
      <c r="BH39" s="247"/>
      <c r="BI39" s="248"/>
      <c r="BJ39" s="248"/>
      <c r="BK39" s="248"/>
      <c r="BL39" s="249"/>
      <c r="BM39" s="250"/>
      <c r="BN39" s="248"/>
      <c r="BO39" s="248"/>
      <c r="BP39" s="248"/>
      <c r="BQ39" s="249"/>
      <c r="BR39" s="247"/>
      <c r="BS39" s="248"/>
      <c r="BT39" s="248"/>
      <c r="BU39" s="248"/>
      <c r="BV39" s="249"/>
      <c r="BW39" s="250"/>
      <c r="BX39" s="248"/>
      <c r="BY39" s="248"/>
      <c r="BZ39" s="248"/>
      <c r="CA39" s="249"/>
      <c r="CB39" s="247"/>
      <c r="CC39" s="248"/>
      <c r="CD39" s="248"/>
      <c r="CE39" s="248"/>
      <c r="CF39" s="249"/>
      <c r="CG39" s="250"/>
      <c r="CH39" s="248"/>
      <c r="CI39" s="248"/>
      <c r="CJ39" s="248"/>
      <c r="CK39" s="249"/>
      <c r="CL39" s="250"/>
      <c r="CM39" s="251"/>
      <c r="CN39" s="251"/>
      <c r="CO39" s="251"/>
      <c r="CP39" s="252"/>
      <c r="CQ39" s="250"/>
      <c r="CR39" s="248"/>
      <c r="CS39" s="248"/>
      <c r="CT39" s="248"/>
      <c r="CU39" s="249"/>
      <c r="CV39" s="247"/>
      <c r="CW39" s="248"/>
      <c r="CX39" s="248"/>
      <c r="CY39" s="248"/>
      <c r="CZ39" s="249"/>
      <c r="DA39" s="143" t="e">
        <f>#REF!</f>
        <v>#REF!</v>
      </c>
      <c r="DB39" s="123"/>
      <c r="DC39" s="123"/>
      <c r="DD39" s="123"/>
      <c r="DE39" s="144"/>
      <c r="DF39" s="143"/>
      <c r="DG39" s="123"/>
      <c r="DH39" s="123"/>
      <c r="DI39" s="123"/>
      <c r="DJ39" s="124"/>
      <c r="DK39" s="66"/>
      <c r="DL39" s="122"/>
      <c r="DM39" s="123"/>
      <c r="DN39" s="123"/>
      <c r="DO39" s="123"/>
      <c r="DP39" s="123"/>
      <c r="DQ39" s="123"/>
      <c r="DR39" s="144"/>
      <c r="DS39" s="126"/>
      <c r="DT39" s="123"/>
      <c r="DU39" s="123"/>
      <c r="DV39" s="123"/>
      <c r="DW39" s="144"/>
      <c r="DX39" s="123"/>
      <c r="DY39" s="123"/>
      <c r="DZ39" s="123"/>
      <c r="EA39" s="123"/>
      <c r="EB39" s="124"/>
    </row>
    <row r="40" spans="1:132" x14ac:dyDescent="0.15">
      <c r="A40" s="53">
        <v>39</v>
      </c>
      <c r="B40" s="23"/>
      <c r="C40" s="47"/>
      <c r="D40" s="48"/>
      <c r="E40" s="48"/>
      <c r="F40" s="49"/>
      <c r="G40" s="122" t="s">
        <v>35</v>
      </c>
      <c r="H40" s="123"/>
      <c r="I40" s="123"/>
      <c r="J40" s="123"/>
      <c r="K40" s="144"/>
      <c r="L40" s="126"/>
      <c r="M40" s="123"/>
      <c r="N40" s="144"/>
      <c r="O40" s="250"/>
      <c r="P40" s="251"/>
      <c r="Q40" s="251"/>
      <c r="R40" s="251"/>
      <c r="S40" s="252"/>
      <c r="T40" s="247"/>
      <c r="U40" s="248"/>
      <c r="V40" s="248"/>
      <c r="W40" s="248"/>
      <c r="X40" s="249"/>
      <c r="Y40" s="250"/>
      <c r="Z40" s="248"/>
      <c r="AA40" s="248"/>
      <c r="AB40" s="248"/>
      <c r="AC40" s="249"/>
      <c r="AD40" s="247"/>
      <c r="AE40" s="248"/>
      <c r="AF40" s="248"/>
      <c r="AG40" s="248"/>
      <c r="AH40" s="249"/>
      <c r="AI40" s="250"/>
      <c r="AJ40" s="248"/>
      <c r="AK40" s="248"/>
      <c r="AL40" s="248"/>
      <c r="AM40" s="249"/>
      <c r="AN40" s="250"/>
      <c r="AO40" s="248"/>
      <c r="AP40" s="248"/>
      <c r="AQ40" s="248"/>
      <c r="AR40" s="249"/>
      <c r="AS40" s="250"/>
      <c r="AT40" s="248"/>
      <c r="AU40" s="248"/>
      <c r="AV40" s="248"/>
      <c r="AW40" s="249"/>
      <c r="AX40" s="247"/>
      <c r="AY40" s="248"/>
      <c r="AZ40" s="248"/>
      <c r="BA40" s="248"/>
      <c r="BB40" s="249"/>
      <c r="BC40" s="250"/>
      <c r="BD40" s="248"/>
      <c r="BE40" s="248"/>
      <c r="BF40" s="248"/>
      <c r="BG40" s="249"/>
      <c r="BH40" s="247"/>
      <c r="BI40" s="248"/>
      <c r="BJ40" s="248"/>
      <c r="BK40" s="248"/>
      <c r="BL40" s="249"/>
      <c r="BM40" s="143" t="e">
        <f>#REF!</f>
        <v>#REF!</v>
      </c>
      <c r="BN40" s="123"/>
      <c r="BO40" s="123"/>
      <c r="BP40" s="123"/>
      <c r="BQ40" s="144"/>
      <c r="BR40" s="126"/>
      <c r="BS40" s="123"/>
      <c r="BT40" s="123"/>
      <c r="BU40" s="123"/>
      <c r="BV40" s="144"/>
      <c r="BW40" s="250"/>
      <c r="BX40" s="248"/>
      <c r="BY40" s="248"/>
      <c r="BZ40" s="248"/>
      <c r="CA40" s="249"/>
      <c r="CB40" s="247"/>
      <c r="CC40" s="248"/>
      <c r="CD40" s="248"/>
      <c r="CE40" s="248"/>
      <c r="CF40" s="249"/>
      <c r="CG40" s="143" t="e">
        <f>#REF!</f>
        <v>#REF!</v>
      </c>
      <c r="CH40" s="123"/>
      <c r="CI40" s="123"/>
      <c r="CJ40" s="123"/>
      <c r="CK40" s="144"/>
      <c r="CL40" s="143"/>
      <c r="CM40" s="141"/>
      <c r="CN40" s="141"/>
      <c r="CO40" s="141"/>
      <c r="CP40" s="142"/>
      <c r="CQ40" s="250"/>
      <c r="CR40" s="248"/>
      <c r="CS40" s="248"/>
      <c r="CT40" s="248"/>
      <c r="CU40" s="249"/>
      <c r="CV40" s="247"/>
      <c r="CW40" s="248"/>
      <c r="CX40" s="248"/>
      <c r="CY40" s="248"/>
      <c r="CZ40" s="249"/>
      <c r="DA40" s="143" t="e">
        <f>#REF!</f>
        <v>#REF!</v>
      </c>
      <c r="DB40" s="123"/>
      <c r="DC40" s="123"/>
      <c r="DD40" s="123"/>
      <c r="DE40" s="144"/>
      <c r="DF40" s="143"/>
      <c r="DG40" s="123"/>
      <c r="DH40" s="123"/>
      <c r="DI40" s="123"/>
      <c r="DJ40" s="124"/>
      <c r="DK40" s="66"/>
      <c r="DL40" s="122"/>
      <c r="DM40" s="123"/>
      <c r="DN40" s="123"/>
      <c r="DO40" s="123"/>
      <c r="DP40" s="123"/>
      <c r="DQ40" s="123"/>
      <c r="DR40" s="144"/>
      <c r="DS40" s="126"/>
      <c r="DT40" s="123"/>
      <c r="DU40" s="123"/>
      <c r="DV40" s="123"/>
      <c r="DW40" s="144"/>
      <c r="DX40" s="123"/>
      <c r="DY40" s="123"/>
      <c r="DZ40" s="123"/>
      <c r="EA40" s="123"/>
      <c r="EB40" s="124"/>
    </row>
    <row r="41" spans="1:132" x14ac:dyDescent="0.15">
      <c r="A41" s="53">
        <v>40</v>
      </c>
      <c r="B41" s="23"/>
      <c r="C41" s="47"/>
      <c r="D41" s="48"/>
      <c r="E41" s="48"/>
      <c r="F41" s="49"/>
      <c r="G41" s="122" t="s">
        <v>36</v>
      </c>
      <c r="H41" s="123"/>
      <c r="I41" s="123"/>
      <c r="J41" s="123"/>
      <c r="K41" s="144"/>
      <c r="L41" s="126">
        <v>0.81899999999999995</v>
      </c>
      <c r="M41" s="123"/>
      <c r="N41" s="144"/>
      <c r="O41" s="250"/>
      <c r="P41" s="251"/>
      <c r="Q41" s="251"/>
      <c r="R41" s="251"/>
      <c r="S41" s="252"/>
      <c r="T41" s="247"/>
      <c r="U41" s="248"/>
      <c r="V41" s="248"/>
      <c r="W41" s="248"/>
      <c r="X41" s="249"/>
      <c r="Y41" s="250"/>
      <c r="Z41" s="248"/>
      <c r="AA41" s="248"/>
      <c r="AB41" s="248"/>
      <c r="AC41" s="249"/>
      <c r="AD41" s="250"/>
      <c r="AE41" s="248"/>
      <c r="AF41" s="248"/>
      <c r="AG41" s="248"/>
      <c r="AH41" s="249"/>
      <c r="AI41" s="250"/>
      <c r="AJ41" s="248"/>
      <c r="AK41" s="248"/>
      <c r="AL41" s="248"/>
      <c r="AM41" s="249"/>
      <c r="AN41" s="250"/>
      <c r="AO41" s="248"/>
      <c r="AP41" s="248"/>
      <c r="AQ41" s="248"/>
      <c r="AR41" s="249"/>
      <c r="AS41" s="250"/>
      <c r="AT41" s="248"/>
      <c r="AU41" s="248"/>
      <c r="AV41" s="248"/>
      <c r="AW41" s="249"/>
      <c r="AX41" s="247"/>
      <c r="AY41" s="248"/>
      <c r="AZ41" s="248"/>
      <c r="BA41" s="248"/>
      <c r="BB41" s="249"/>
      <c r="BC41" s="250"/>
      <c r="BD41" s="248"/>
      <c r="BE41" s="248"/>
      <c r="BF41" s="248"/>
      <c r="BG41" s="249"/>
      <c r="BH41" s="247"/>
      <c r="BI41" s="248"/>
      <c r="BJ41" s="248"/>
      <c r="BK41" s="248"/>
      <c r="BL41" s="249"/>
      <c r="BM41" s="250"/>
      <c r="BN41" s="248"/>
      <c r="BO41" s="248"/>
      <c r="BP41" s="248"/>
      <c r="BQ41" s="249"/>
      <c r="BR41" s="247"/>
      <c r="BS41" s="248"/>
      <c r="BT41" s="248"/>
      <c r="BU41" s="248"/>
      <c r="BV41" s="249"/>
      <c r="BW41" s="250"/>
      <c r="BX41" s="248"/>
      <c r="BY41" s="248"/>
      <c r="BZ41" s="248"/>
      <c r="CA41" s="249"/>
      <c r="CB41" s="247"/>
      <c r="CC41" s="248"/>
      <c r="CD41" s="248"/>
      <c r="CE41" s="248"/>
      <c r="CF41" s="249"/>
      <c r="CG41" s="250"/>
      <c r="CH41" s="248"/>
      <c r="CI41" s="248"/>
      <c r="CJ41" s="248"/>
      <c r="CK41" s="249"/>
      <c r="CL41" s="250"/>
      <c r="CM41" s="251"/>
      <c r="CN41" s="251"/>
      <c r="CO41" s="251"/>
      <c r="CP41" s="252"/>
      <c r="CQ41" s="143" t="e">
        <f>#REF!</f>
        <v>#REF!</v>
      </c>
      <c r="CR41" s="123"/>
      <c r="CS41" s="123"/>
      <c r="CT41" s="123"/>
      <c r="CU41" s="144"/>
      <c r="CV41" s="126" t="e">
        <f>CQ41*L41</f>
        <v>#REF!</v>
      </c>
      <c r="CW41" s="123"/>
      <c r="CX41" s="123"/>
      <c r="CY41" s="123"/>
      <c r="CZ41" s="144"/>
      <c r="DA41" s="250"/>
      <c r="DB41" s="248"/>
      <c r="DC41" s="248"/>
      <c r="DD41" s="248"/>
      <c r="DE41" s="249"/>
      <c r="DF41" s="250"/>
      <c r="DG41" s="248"/>
      <c r="DH41" s="248"/>
      <c r="DI41" s="248"/>
      <c r="DJ41" s="253"/>
      <c r="DK41" s="66"/>
      <c r="DL41" s="122"/>
      <c r="DM41" s="123"/>
      <c r="DN41" s="123"/>
      <c r="DO41" s="123"/>
      <c r="DP41" s="123"/>
      <c r="DQ41" s="123"/>
      <c r="DR41" s="123"/>
      <c r="DS41" s="123"/>
      <c r="DT41" s="123"/>
      <c r="DU41" s="123"/>
      <c r="DV41" s="123"/>
      <c r="DW41" s="144"/>
      <c r="DX41" s="123"/>
      <c r="DY41" s="123"/>
      <c r="DZ41" s="123"/>
      <c r="EA41" s="123"/>
      <c r="EB41" s="124"/>
    </row>
    <row r="42" spans="1:132" x14ac:dyDescent="0.15">
      <c r="A42" s="52">
        <v>41</v>
      </c>
      <c r="B42" s="23"/>
      <c r="C42" s="47"/>
      <c r="D42" s="48"/>
      <c r="E42" s="48"/>
      <c r="F42" s="49"/>
      <c r="G42" s="122" t="s">
        <v>47</v>
      </c>
      <c r="H42" s="123"/>
      <c r="I42" s="123"/>
      <c r="J42" s="123"/>
      <c r="K42" s="144"/>
      <c r="L42" s="126"/>
      <c r="M42" s="123"/>
      <c r="N42" s="144"/>
      <c r="O42" s="250"/>
      <c r="P42" s="251"/>
      <c r="Q42" s="251"/>
      <c r="R42" s="251"/>
      <c r="S42" s="252"/>
      <c r="T42" s="247"/>
      <c r="U42" s="248"/>
      <c r="V42" s="248"/>
      <c r="W42" s="248"/>
      <c r="X42" s="249"/>
      <c r="Y42" s="143" t="e">
        <f>#REF!</f>
        <v>#REF!</v>
      </c>
      <c r="Z42" s="123"/>
      <c r="AA42" s="123"/>
      <c r="AB42" s="123"/>
      <c r="AC42" s="144"/>
      <c r="AD42" s="143"/>
      <c r="AE42" s="123"/>
      <c r="AF42" s="123"/>
      <c r="AG42" s="123"/>
      <c r="AH42" s="144"/>
      <c r="AI42" s="250"/>
      <c r="AJ42" s="248"/>
      <c r="AK42" s="248"/>
      <c r="AL42" s="248"/>
      <c r="AM42" s="249"/>
      <c r="AN42" s="250"/>
      <c r="AO42" s="248"/>
      <c r="AP42" s="248"/>
      <c r="AQ42" s="248"/>
      <c r="AR42" s="249"/>
      <c r="AS42" s="250"/>
      <c r="AT42" s="248"/>
      <c r="AU42" s="248"/>
      <c r="AV42" s="248"/>
      <c r="AW42" s="249"/>
      <c r="AX42" s="247"/>
      <c r="AY42" s="248"/>
      <c r="AZ42" s="248"/>
      <c r="BA42" s="248"/>
      <c r="BB42" s="249"/>
      <c r="BC42" s="143" t="e">
        <f>#REF!</f>
        <v>#REF!</v>
      </c>
      <c r="BD42" s="123"/>
      <c r="BE42" s="123"/>
      <c r="BF42" s="123"/>
      <c r="BG42" s="144"/>
      <c r="BH42" s="126"/>
      <c r="BI42" s="123"/>
      <c r="BJ42" s="123"/>
      <c r="BK42" s="123"/>
      <c r="BL42" s="144"/>
      <c r="BM42" s="250"/>
      <c r="BN42" s="248"/>
      <c r="BO42" s="248"/>
      <c r="BP42" s="248"/>
      <c r="BQ42" s="249"/>
      <c r="BR42" s="247"/>
      <c r="BS42" s="248"/>
      <c r="BT42" s="248"/>
      <c r="BU42" s="248"/>
      <c r="BV42" s="249"/>
      <c r="BW42" s="250"/>
      <c r="BX42" s="248"/>
      <c r="BY42" s="248"/>
      <c r="BZ42" s="248"/>
      <c r="CA42" s="249"/>
      <c r="CB42" s="247"/>
      <c r="CC42" s="248"/>
      <c r="CD42" s="248"/>
      <c r="CE42" s="248"/>
      <c r="CF42" s="249"/>
      <c r="CG42" s="143" t="e">
        <f>#REF!</f>
        <v>#REF!</v>
      </c>
      <c r="CH42" s="123"/>
      <c r="CI42" s="123"/>
      <c r="CJ42" s="123"/>
      <c r="CK42" s="144"/>
      <c r="CL42" s="143"/>
      <c r="CM42" s="141"/>
      <c r="CN42" s="141"/>
      <c r="CO42" s="141"/>
      <c r="CP42" s="142"/>
      <c r="CQ42" s="250"/>
      <c r="CR42" s="248"/>
      <c r="CS42" s="248"/>
      <c r="CT42" s="248"/>
      <c r="CU42" s="249"/>
      <c r="CV42" s="247"/>
      <c r="CW42" s="248"/>
      <c r="CX42" s="248"/>
      <c r="CY42" s="248"/>
      <c r="CZ42" s="249"/>
      <c r="DA42" s="143" t="e">
        <f>#REF!</f>
        <v>#REF!</v>
      </c>
      <c r="DB42" s="123"/>
      <c r="DC42" s="123"/>
      <c r="DD42" s="123"/>
      <c r="DE42" s="144"/>
      <c r="DF42" s="143"/>
      <c r="DG42" s="123"/>
      <c r="DH42" s="123"/>
      <c r="DI42" s="123"/>
      <c r="DJ42" s="124"/>
      <c r="DK42" s="66"/>
      <c r="DL42" s="122"/>
      <c r="DM42" s="123"/>
      <c r="DN42" s="123"/>
      <c r="DO42" s="123"/>
      <c r="DP42" s="123"/>
      <c r="DQ42" s="123"/>
      <c r="DR42" s="144"/>
      <c r="DS42" s="126"/>
      <c r="DT42" s="123"/>
      <c r="DU42" s="123"/>
      <c r="DV42" s="123"/>
      <c r="DW42" s="144"/>
      <c r="DX42" s="123"/>
      <c r="DY42" s="123"/>
      <c r="DZ42" s="123"/>
      <c r="EA42" s="123"/>
      <c r="EB42" s="124"/>
    </row>
    <row r="43" spans="1:132" x14ac:dyDescent="0.15">
      <c r="A43" s="53">
        <v>42</v>
      </c>
      <c r="B43" s="23"/>
      <c r="C43" s="47"/>
      <c r="D43" s="48"/>
      <c r="E43" s="48"/>
      <c r="F43" s="49"/>
      <c r="G43" s="122" t="s">
        <v>73</v>
      </c>
      <c r="H43" s="123"/>
      <c r="I43" s="123"/>
      <c r="J43" s="123"/>
      <c r="K43" s="144"/>
      <c r="L43" s="126"/>
      <c r="M43" s="123"/>
      <c r="N43" s="144"/>
      <c r="O43" s="250"/>
      <c r="P43" s="251"/>
      <c r="Q43" s="251"/>
      <c r="R43" s="251"/>
      <c r="S43" s="252"/>
      <c r="T43" s="247"/>
      <c r="U43" s="248"/>
      <c r="V43" s="248"/>
      <c r="W43" s="248"/>
      <c r="X43" s="249"/>
      <c r="Y43" s="250"/>
      <c r="Z43" s="248"/>
      <c r="AA43" s="248"/>
      <c r="AB43" s="248"/>
      <c r="AC43" s="249"/>
      <c r="AD43" s="247"/>
      <c r="AE43" s="248"/>
      <c r="AF43" s="248"/>
      <c r="AG43" s="248"/>
      <c r="AH43" s="249"/>
      <c r="AI43" s="250"/>
      <c r="AJ43" s="248"/>
      <c r="AK43" s="248"/>
      <c r="AL43" s="248"/>
      <c r="AM43" s="249"/>
      <c r="AN43" s="250"/>
      <c r="AO43" s="248"/>
      <c r="AP43" s="248"/>
      <c r="AQ43" s="248"/>
      <c r="AR43" s="249"/>
      <c r="AS43" s="250"/>
      <c r="AT43" s="248"/>
      <c r="AU43" s="248"/>
      <c r="AV43" s="248"/>
      <c r="AW43" s="249"/>
      <c r="AX43" s="247"/>
      <c r="AY43" s="248"/>
      <c r="AZ43" s="248"/>
      <c r="BA43" s="248"/>
      <c r="BB43" s="249"/>
      <c r="BC43" s="250"/>
      <c r="BD43" s="248"/>
      <c r="BE43" s="248"/>
      <c r="BF43" s="248"/>
      <c r="BG43" s="249"/>
      <c r="BH43" s="247"/>
      <c r="BI43" s="248"/>
      <c r="BJ43" s="248"/>
      <c r="BK43" s="248"/>
      <c r="BL43" s="249"/>
      <c r="BM43" s="250"/>
      <c r="BN43" s="248"/>
      <c r="BO43" s="248"/>
      <c r="BP43" s="248"/>
      <c r="BQ43" s="249"/>
      <c r="BR43" s="247"/>
      <c r="BS43" s="248"/>
      <c r="BT43" s="248"/>
      <c r="BU43" s="248"/>
      <c r="BV43" s="249"/>
      <c r="BW43" s="143" t="e">
        <f>#REF!</f>
        <v>#REF!</v>
      </c>
      <c r="BX43" s="123"/>
      <c r="BY43" s="123"/>
      <c r="BZ43" s="123"/>
      <c r="CA43" s="144"/>
      <c r="CB43" s="126"/>
      <c r="CC43" s="123"/>
      <c r="CD43" s="123"/>
      <c r="CE43" s="123"/>
      <c r="CF43" s="144"/>
      <c r="CG43" s="143" t="e">
        <f>#REF!</f>
        <v>#REF!</v>
      </c>
      <c r="CH43" s="123"/>
      <c r="CI43" s="123"/>
      <c r="CJ43" s="123"/>
      <c r="CK43" s="144"/>
      <c r="CL43" s="143"/>
      <c r="CM43" s="141"/>
      <c r="CN43" s="141"/>
      <c r="CO43" s="141"/>
      <c r="CP43" s="142"/>
      <c r="CQ43" s="250"/>
      <c r="CR43" s="248"/>
      <c r="CS43" s="248"/>
      <c r="CT43" s="248"/>
      <c r="CU43" s="249"/>
      <c r="CV43" s="247"/>
      <c r="CW43" s="248"/>
      <c r="CX43" s="248"/>
      <c r="CY43" s="248"/>
      <c r="CZ43" s="249"/>
      <c r="DA43" s="143" t="e">
        <f>#REF!</f>
        <v>#REF!</v>
      </c>
      <c r="DB43" s="123"/>
      <c r="DC43" s="123"/>
      <c r="DD43" s="123"/>
      <c r="DE43" s="144"/>
      <c r="DF43" s="143"/>
      <c r="DG43" s="123"/>
      <c r="DH43" s="123"/>
      <c r="DI43" s="123"/>
      <c r="DJ43" s="124"/>
      <c r="DK43" s="66"/>
      <c r="DL43" s="122"/>
      <c r="DM43" s="123"/>
      <c r="DN43" s="123"/>
      <c r="DO43" s="123"/>
      <c r="DP43" s="123"/>
      <c r="DQ43" s="123"/>
      <c r="DR43" s="144"/>
      <c r="DS43" s="126"/>
      <c r="DT43" s="123"/>
      <c r="DU43" s="123"/>
      <c r="DV43" s="123"/>
      <c r="DW43" s="144"/>
      <c r="DX43" s="123"/>
      <c r="DY43" s="123"/>
      <c r="DZ43" s="123"/>
      <c r="EA43" s="123"/>
      <c r="EB43" s="124"/>
    </row>
    <row r="44" spans="1:132" x14ac:dyDescent="0.15">
      <c r="A44" s="53">
        <v>43</v>
      </c>
      <c r="B44" s="23"/>
      <c r="C44" s="47"/>
      <c r="D44" s="48"/>
      <c r="E44" s="48"/>
      <c r="F44" s="49"/>
      <c r="G44" s="122" t="s">
        <v>59</v>
      </c>
      <c r="H44" s="123"/>
      <c r="I44" s="123"/>
      <c r="J44" s="123"/>
      <c r="K44" s="144"/>
      <c r="L44" s="126"/>
      <c r="M44" s="123"/>
      <c r="N44" s="144"/>
      <c r="O44" s="250"/>
      <c r="P44" s="251"/>
      <c r="Q44" s="251"/>
      <c r="R44" s="251"/>
      <c r="S44" s="252"/>
      <c r="T44" s="250"/>
      <c r="U44" s="251"/>
      <c r="V44" s="251"/>
      <c r="W44" s="251"/>
      <c r="X44" s="252"/>
      <c r="Y44" s="250"/>
      <c r="Z44" s="251"/>
      <c r="AA44" s="251"/>
      <c r="AB44" s="251"/>
      <c r="AC44" s="252"/>
      <c r="AD44" s="250"/>
      <c r="AE44" s="251"/>
      <c r="AF44" s="251"/>
      <c r="AG44" s="251"/>
      <c r="AH44" s="252"/>
      <c r="AI44" s="250"/>
      <c r="AJ44" s="251"/>
      <c r="AK44" s="251"/>
      <c r="AL44" s="251"/>
      <c r="AM44" s="252"/>
      <c r="AN44" s="250"/>
      <c r="AO44" s="248"/>
      <c r="AP44" s="248"/>
      <c r="AQ44" s="248"/>
      <c r="AR44" s="249"/>
      <c r="AS44" s="250"/>
      <c r="AT44" s="251"/>
      <c r="AU44" s="251"/>
      <c r="AV44" s="251"/>
      <c r="AW44" s="252"/>
      <c r="AX44" s="250"/>
      <c r="AY44" s="251"/>
      <c r="AZ44" s="251"/>
      <c r="BA44" s="251"/>
      <c r="BB44" s="252"/>
      <c r="BC44" s="143" t="e">
        <f>#REF!</f>
        <v>#REF!</v>
      </c>
      <c r="BD44" s="123"/>
      <c r="BE44" s="123"/>
      <c r="BF44" s="123"/>
      <c r="BG44" s="144"/>
      <c r="BH44" s="126"/>
      <c r="BI44" s="123"/>
      <c r="BJ44" s="123"/>
      <c r="BK44" s="123"/>
      <c r="BL44" s="144"/>
      <c r="BM44" s="250"/>
      <c r="BN44" s="248"/>
      <c r="BO44" s="248"/>
      <c r="BP44" s="248"/>
      <c r="BQ44" s="249"/>
      <c r="BR44" s="247"/>
      <c r="BS44" s="248"/>
      <c r="BT44" s="248"/>
      <c r="BU44" s="248"/>
      <c r="BV44" s="249"/>
      <c r="BW44" s="250"/>
      <c r="BX44" s="248"/>
      <c r="BY44" s="248"/>
      <c r="BZ44" s="248"/>
      <c r="CA44" s="249"/>
      <c r="CB44" s="247"/>
      <c r="CC44" s="248"/>
      <c r="CD44" s="248"/>
      <c r="CE44" s="248"/>
      <c r="CF44" s="249"/>
      <c r="CG44" s="143" t="e">
        <f>#REF!</f>
        <v>#REF!</v>
      </c>
      <c r="CH44" s="123"/>
      <c r="CI44" s="123"/>
      <c r="CJ44" s="123"/>
      <c r="CK44" s="144"/>
      <c r="CL44" s="143"/>
      <c r="CM44" s="141"/>
      <c r="CN44" s="141"/>
      <c r="CO44" s="141"/>
      <c r="CP44" s="142"/>
      <c r="CQ44" s="250"/>
      <c r="CR44" s="248"/>
      <c r="CS44" s="248"/>
      <c r="CT44" s="248"/>
      <c r="CU44" s="249"/>
      <c r="CV44" s="247"/>
      <c r="CW44" s="248"/>
      <c r="CX44" s="248"/>
      <c r="CY44" s="248"/>
      <c r="CZ44" s="249"/>
      <c r="DA44" s="143" t="e">
        <f>#REF!</f>
        <v>#REF!</v>
      </c>
      <c r="DB44" s="123"/>
      <c r="DC44" s="123"/>
      <c r="DD44" s="123"/>
      <c r="DE44" s="144"/>
      <c r="DF44" s="143"/>
      <c r="DG44" s="123"/>
      <c r="DH44" s="123"/>
      <c r="DI44" s="123"/>
      <c r="DJ44" s="124"/>
      <c r="DK44" s="66"/>
      <c r="DL44" s="122"/>
      <c r="DM44" s="123"/>
      <c r="DN44" s="123"/>
      <c r="DO44" s="123"/>
      <c r="DP44" s="123"/>
      <c r="DQ44" s="123"/>
      <c r="DR44" s="144"/>
      <c r="DS44" s="126"/>
      <c r="DT44" s="123"/>
      <c r="DU44" s="123"/>
      <c r="DV44" s="123"/>
      <c r="DW44" s="144"/>
      <c r="DX44" s="126"/>
      <c r="DY44" s="123"/>
      <c r="DZ44" s="123"/>
      <c r="EA44" s="123"/>
      <c r="EB44" s="124"/>
    </row>
    <row r="45" spans="1:132" x14ac:dyDescent="0.15">
      <c r="A45" s="53">
        <v>44</v>
      </c>
      <c r="B45" s="23"/>
      <c r="C45" s="145"/>
      <c r="D45" s="146"/>
      <c r="E45" s="146"/>
      <c r="F45" s="157"/>
      <c r="G45" s="122" t="s">
        <v>28</v>
      </c>
      <c r="H45" s="123"/>
      <c r="I45" s="123"/>
      <c r="J45" s="123"/>
      <c r="K45" s="144"/>
      <c r="L45" s="126"/>
      <c r="M45" s="123"/>
      <c r="N45" s="144"/>
      <c r="O45" s="143" t="e">
        <f>#REF!</f>
        <v>#REF!</v>
      </c>
      <c r="P45" s="141"/>
      <c r="Q45" s="141"/>
      <c r="R45" s="141"/>
      <c r="S45" s="142"/>
      <c r="T45" s="143" t="e">
        <f>T32</f>
        <v>#REF!</v>
      </c>
      <c r="U45" s="141"/>
      <c r="V45" s="141"/>
      <c r="W45" s="141"/>
      <c r="X45" s="142"/>
      <c r="Y45" s="143" t="e">
        <f>#REF!</f>
        <v>#REF!</v>
      </c>
      <c r="Z45" s="141"/>
      <c r="AA45" s="141"/>
      <c r="AB45" s="141"/>
      <c r="AC45" s="142"/>
      <c r="AD45" s="143"/>
      <c r="AE45" s="141"/>
      <c r="AF45" s="141"/>
      <c r="AG45" s="141"/>
      <c r="AH45" s="142"/>
      <c r="AI45" s="143" t="e">
        <f>#REF!</f>
        <v>#REF!</v>
      </c>
      <c r="AJ45" s="141"/>
      <c r="AK45" s="141"/>
      <c r="AL45" s="141"/>
      <c r="AM45" s="142"/>
      <c r="AN45" s="143" t="e">
        <f>AN32</f>
        <v>#REF!</v>
      </c>
      <c r="AO45" s="141"/>
      <c r="AP45" s="141"/>
      <c r="AQ45" s="141"/>
      <c r="AR45" s="142"/>
      <c r="AS45" s="143" t="e">
        <f>#REF!</f>
        <v>#REF!</v>
      </c>
      <c r="AT45" s="141"/>
      <c r="AU45" s="141"/>
      <c r="AV45" s="141"/>
      <c r="AW45" s="142"/>
      <c r="AX45" s="143" t="e">
        <f>AX32</f>
        <v>#REF!</v>
      </c>
      <c r="AY45" s="141"/>
      <c r="AZ45" s="141"/>
      <c r="BA45" s="141"/>
      <c r="BB45" s="142"/>
      <c r="BC45" s="143" t="e">
        <f>#REF!</f>
        <v>#REF!</v>
      </c>
      <c r="BD45" s="141"/>
      <c r="BE45" s="141"/>
      <c r="BF45" s="141"/>
      <c r="BG45" s="142"/>
      <c r="BH45" s="143" t="e">
        <f>SUM(BH32:BL44)</f>
        <v>#REF!</v>
      </c>
      <c r="BI45" s="141"/>
      <c r="BJ45" s="141"/>
      <c r="BK45" s="141"/>
      <c r="BL45" s="142"/>
      <c r="BM45" s="143" t="e">
        <f>#REF!</f>
        <v>#REF!</v>
      </c>
      <c r="BN45" s="141"/>
      <c r="BO45" s="141"/>
      <c r="BP45" s="141"/>
      <c r="BQ45" s="142"/>
      <c r="BR45" s="143"/>
      <c r="BS45" s="141"/>
      <c r="BT45" s="141"/>
      <c r="BU45" s="141"/>
      <c r="BV45" s="142"/>
      <c r="BW45" s="143" t="e">
        <f>#REF!</f>
        <v>#REF!</v>
      </c>
      <c r="BX45" s="141"/>
      <c r="BY45" s="141"/>
      <c r="BZ45" s="141"/>
      <c r="CA45" s="142"/>
      <c r="CB45" s="143"/>
      <c r="CC45" s="141"/>
      <c r="CD45" s="141"/>
      <c r="CE45" s="141"/>
      <c r="CF45" s="142"/>
      <c r="CG45" s="143" t="e">
        <f>#REF!</f>
        <v>#REF!</v>
      </c>
      <c r="CH45" s="141"/>
      <c r="CI45" s="141"/>
      <c r="CJ45" s="141"/>
      <c r="CK45" s="142"/>
      <c r="CL45" s="143"/>
      <c r="CM45" s="141"/>
      <c r="CN45" s="141"/>
      <c r="CO45" s="141"/>
      <c r="CP45" s="142"/>
      <c r="CQ45" s="143" t="e">
        <f>#REF!</f>
        <v>#REF!</v>
      </c>
      <c r="CR45" s="141"/>
      <c r="CS45" s="141"/>
      <c r="CT45" s="141"/>
      <c r="CU45" s="142"/>
      <c r="CV45" s="143"/>
      <c r="CW45" s="141"/>
      <c r="CX45" s="141"/>
      <c r="CY45" s="141"/>
      <c r="CZ45" s="142"/>
      <c r="DA45" s="143" t="e">
        <f>#REF!</f>
        <v>#REF!</v>
      </c>
      <c r="DB45" s="141"/>
      <c r="DC45" s="141"/>
      <c r="DD45" s="141"/>
      <c r="DE45" s="142"/>
      <c r="DF45" s="143"/>
      <c r="DG45" s="141"/>
      <c r="DH45" s="141"/>
      <c r="DI45" s="141"/>
      <c r="DJ45" s="162"/>
      <c r="DK45" s="66"/>
      <c r="DL45" s="122"/>
      <c r="DM45" s="123"/>
      <c r="DN45" s="123"/>
      <c r="DO45" s="123"/>
      <c r="DP45" s="123"/>
      <c r="DQ45" s="123"/>
      <c r="DR45" s="144"/>
      <c r="DS45" s="126"/>
      <c r="DT45" s="123"/>
      <c r="DU45" s="123"/>
      <c r="DV45" s="123"/>
      <c r="DW45" s="144"/>
      <c r="DX45" s="126"/>
      <c r="DY45" s="123"/>
      <c r="DZ45" s="123"/>
      <c r="EA45" s="123"/>
      <c r="EB45" s="124"/>
    </row>
    <row r="46" spans="1:132" x14ac:dyDescent="0.15">
      <c r="A46" s="53">
        <v>45</v>
      </c>
      <c r="B46" s="23"/>
      <c r="C46" s="145"/>
      <c r="D46" s="146"/>
      <c r="E46" s="146"/>
      <c r="F46" s="157"/>
      <c r="G46" s="122"/>
      <c r="H46" s="123"/>
      <c r="I46" s="123"/>
      <c r="J46" s="123"/>
      <c r="K46" s="144"/>
      <c r="L46" s="126"/>
      <c r="M46" s="123"/>
      <c r="N46" s="144"/>
      <c r="O46" s="126"/>
      <c r="P46" s="123"/>
      <c r="Q46" s="123"/>
      <c r="R46" s="123"/>
      <c r="S46" s="123"/>
      <c r="T46" s="123"/>
      <c r="U46" s="123"/>
      <c r="V46" s="123"/>
      <c r="W46" s="123"/>
      <c r="X46" s="144"/>
      <c r="Y46" s="126"/>
      <c r="Z46" s="123"/>
      <c r="AA46" s="123"/>
      <c r="AB46" s="123"/>
      <c r="AC46" s="123"/>
      <c r="AD46" s="123"/>
      <c r="AE46" s="123"/>
      <c r="AF46" s="123"/>
      <c r="AG46" s="123"/>
      <c r="AH46" s="144"/>
      <c r="AI46" s="126"/>
      <c r="AJ46" s="123"/>
      <c r="AK46" s="123"/>
      <c r="AL46" s="123"/>
      <c r="AM46" s="123"/>
      <c r="AN46" s="123"/>
      <c r="AO46" s="123"/>
      <c r="AP46" s="123"/>
      <c r="AQ46" s="123"/>
      <c r="AR46" s="144"/>
      <c r="AS46" s="126"/>
      <c r="AT46" s="123"/>
      <c r="AU46" s="123"/>
      <c r="AV46" s="123"/>
      <c r="AW46" s="123"/>
      <c r="AX46" s="123"/>
      <c r="AY46" s="123"/>
      <c r="AZ46" s="123"/>
      <c r="BA46" s="123"/>
      <c r="BB46" s="144"/>
      <c r="BC46" s="126"/>
      <c r="BD46" s="123"/>
      <c r="BE46" s="123"/>
      <c r="BF46" s="123"/>
      <c r="BG46" s="123"/>
      <c r="BH46" s="123"/>
      <c r="BI46" s="123"/>
      <c r="BJ46" s="123"/>
      <c r="BK46" s="123"/>
      <c r="BL46" s="144"/>
      <c r="BM46" s="126"/>
      <c r="BN46" s="123"/>
      <c r="BO46" s="123"/>
      <c r="BP46" s="123"/>
      <c r="BQ46" s="123"/>
      <c r="BR46" s="123"/>
      <c r="BS46" s="123"/>
      <c r="BT46" s="123"/>
      <c r="BU46" s="123"/>
      <c r="BV46" s="144"/>
      <c r="BW46" s="126"/>
      <c r="BX46" s="123"/>
      <c r="BY46" s="123"/>
      <c r="BZ46" s="123"/>
      <c r="CA46" s="123"/>
      <c r="CB46" s="123"/>
      <c r="CC46" s="123"/>
      <c r="CD46" s="123"/>
      <c r="CE46" s="123"/>
      <c r="CF46" s="144"/>
      <c r="CG46" s="126"/>
      <c r="CH46" s="123"/>
      <c r="CI46" s="123"/>
      <c r="CJ46" s="123"/>
      <c r="CK46" s="123"/>
      <c r="CL46" s="123"/>
      <c r="CM46" s="123"/>
      <c r="CN46" s="123"/>
      <c r="CO46" s="123"/>
      <c r="CP46" s="144"/>
      <c r="CQ46" s="126"/>
      <c r="CR46" s="123"/>
      <c r="CS46" s="123"/>
      <c r="CT46" s="123"/>
      <c r="CU46" s="123"/>
      <c r="CV46" s="123"/>
      <c r="CW46" s="123"/>
      <c r="CX46" s="123"/>
      <c r="CY46" s="123"/>
      <c r="CZ46" s="144"/>
      <c r="DA46" s="126"/>
      <c r="DB46" s="123"/>
      <c r="DC46" s="123"/>
      <c r="DD46" s="123"/>
      <c r="DE46" s="123"/>
      <c r="DF46" s="123"/>
      <c r="DG46" s="123"/>
      <c r="DH46" s="123"/>
      <c r="DI46" s="123"/>
      <c r="DJ46" s="124"/>
      <c r="DK46" s="66"/>
      <c r="DL46" s="122"/>
      <c r="DM46" s="123"/>
      <c r="DN46" s="123"/>
      <c r="DO46" s="123"/>
      <c r="DP46" s="123"/>
      <c r="DQ46" s="123"/>
      <c r="DR46" s="144"/>
      <c r="DS46" s="126"/>
      <c r="DT46" s="123"/>
      <c r="DU46" s="123"/>
      <c r="DV46" s="123"/>
      <c r="DW46" s="144"/>
      <c r="DX46" s="126"/>
      <c r="DY46" s="123"/>
      <c r="DZ46" s="123"/>
      <c r="EA46" s="123"/>
      <c r="EB46" s="124"/>
    </row>
    <row r="47" spans="1:132" x14ac:dyDescent="0.15">
      <c r="A47" s="52">
        <v>46</v>
      </c>
      <c r="B47" s="23"/>
      <c r="C47" s="145"/>
      <c r="D47" s="146"/>
      <c r="E47" s="146"/>
      <c r="F47" s="157"/>
      <c r="G47" s="122" t="s">
        <v>158</v>
      </c>
      <c r="H47" s="123"/>
      <c r="I47" s="123"/>
      <c r="J47" s="123"/>
      <c r="K47" s="144"/>
      <c r="L47" s="126"/>
      <c r="M47" s="123"/>
      <c r="N47" s="144"/>
      <c r="O47" s="126">
        <f>162-20</f>
        <v>142</v>
      </c>
      <c r="P47" s="123"/>
      <c r="Q47" s="123"/>
      <c r="R47" s="123"/>
      <c r="S47" s="123"/>
      <c r="T47" s="123"/>
      <c r="U47" s="123"/>
      <c r="V47" s="123"/>
      <c r="W47" s="123"/>
      <c r="X47" s="144"/>
      <c r="Y47" s="126">
        <f>20-20</f>
        <v>0</v>
      </c>
      <c r="Z47" s="123"/>
      <c r="AA47" s="123"/>
      <c r="AB47" s="123"/>
      <c r="AC47" s="123"/>
      <c r="AD47" s="123"/>
      <c r="AE47" s="123"/>
      <c r="AF47" s="123"/>
      <c r="AG47" s="123"/>
      <c r="AH47" s="144"/>
      <c r="AI47" s="126">
        <f>25-20</f>
        <v>5</v>
      </c>
      <c r="AJ47" s="123"/>
      <c r="AK47" s="123"/>
      <c r="AL47" s="123"/>
      <c r="AM47" s="123"/>
      <c r="AN47" s="123"/>
      <c r="AO47" s="123"/>
      <c r="AP47" s="123"/>
      <c r="AQ47" s="123"/>
      <c r="AR47" s="144"/>
      <c r="AS47" s="126" t="e">
        <f>#REF!-(#REF!+#REF!)/2</f>
        <v>#REF!</v>
      </c>
      <c r="AT47" s="123"/>
      <c r="AU47" s="123"/>
      <c r="AV47" s="123"/>
      <c r="AW47" s="123"/>
      <c r="AX47" s="123"/>
      <c r="AY47" s="123"/>
      <c r="AZ47" s="123"/>
      <c r="BA47" s="123"/>
      <c r="BB47" s="144"/>
      <c r="BC47" s="126" t="e">
        <f>#REF!-(#REF!+#REF!)/2</f>
        <v>#REF!</v>
      </c>
      <c r="BD47" s="123"/>
      <c r="BE47" s="123"/>
      <c r="BF47" s="123"/>
      <c r="BG47" s="123"/>
      <c r="BH47" s="123"/>
      <c r="BI47" s="123"/>
      <c r="BJ47" s="123"/>
      <c r="BK47" s="123"/>
      <c r="BL47" s="144"/>
      <c r="BM47" s="126">
        <f>37-20</f>
        <v>17</v>
      </c>
      <c r="BN47" s="123"/>
      <c r="BO47" s="123"/>
      <c r="BP47" s="123"/>
      <c r="BQ47" s="123"/>
      <c r="BR47" s="123"/>
      <c r="BS47" s="123"/>
      <c r="BT47" s="123"/>
      <c r="BU47" s="123"/>
      <c r="BV47" s="144"/>
      <c r="BW47" s="126" t="e">
        <f>#REF!</f>
        <v>#REF!</v>
      </c>
      <c r="BX47" s="123"/>
      <c r="BY47" s="123"/>
      <c r="BZ47" s="123"/>
      <c r="CA47" s="123"/>
      <c r="CB47" s="123"/>
      <c r="CC47" s="123"/>
      <c r="CD47" s="123"/>
      <c r="CE47" s="123"/>
      <c r="CF47" s="144"/>
      <c r="CG47" s="126"/>
      <c r="CH47" s="123"/>
      <c r="CI47" s="123"/>
      <c r="CJ47" s="123"/>
      <c r="CK47" s="123"/>
      <c r="CL47" s="123"/>
      <c r="CM47" s="123"/>
      <c r="CN47" s="123"/>
      <c r="CO47" s="123"/>
      <c r="CP47" s="144"/>
      <c r="CQ47" s="126"/>
      <c r="CR47" s="123"/>
      <c r="CS47" s="123"/>
      <c r="CT47" s="123"/>
      <c r="CU47" s="123"/>
      <c r="CV47" s="123"/>
      <c r="CW47" s="123"/>
      <c r="CX47" s="123"/>
      <c r="CY47" s="123"/>
      <c r="CZ47" s="144"/>
      <c r="DA47" s="126"/>
      <c r="DB47" s="123"/>
      <c r="DC47" s="123"/>
      <c r="DD47" s="123"/>
      <c r="DE47" s="123"/>
      <c r="DF47" s="123"/>
      <c r="DG47" s="123"/>
      <c r="DH47" s="123"/>
      <c r="DI47" s="123"/>
      <c r="DJ47" s="124"/>
      <c r="DK47" s="66"/>
      <c r="DL47" s="122"/>
      <c r="DM47" s="123"/>
      <c r="DN47" s="123"/>
      <c r="DO47" s="123"/>
      <c r="DP47" s="123"/>
      <c r="DQ47" s="123"/>
      <c r="DR47" s="144"/>
      <c r="DS47" s="126"/>
      <c r="DT47" s="123"/>
      <c r="DU47" s="123"/>
      <c r="DV47" s="123"/>
      <c r="DW47" s="144"/>
      <c r="DX47" s="126"/>
      <c r="DY47" s="123"/>
      <c r="DZ47" s="123"/>
      <c r="EA47" s="123"/>
      <c r="EB47" s="124"/>
    </row>
    <row r="48" spans="1:132" x14ac:dyDescent="0.15">
      <c r="A48" s="53">
        <v>47</v>
      </c>
      <c r="B48" s="23"/>
      <c r="C48" s="145"/>
      <c r="D48" s="146"/>
      <c r="E48" s="146"/>
      <c r="F48" s="157"/>
      <c r="G48" s="109" t="s">
        <v>31</v>
      </c>
      <c r="H48" s="110"/>
      <c r="I48" s="110"/>
      <c r="J48" s="110"/>
      <c r="K48" s="128"/>
      <c r="L48" s="127"/>
      <c r="M48" s="110"/>
      <c r="N48" s="128"/>
      <c r="O48" s="139" t="e">
        <f>T45</f>
        <v>#REF!</v>
      </c>
      <c r="P48" s="110"/>
      <c r="Q48" s="110"/>
      <c r="R48" s="110"/>
      <c r="S48" s="110"/>
      <c r="T48" s="110"/>
      <c r="U48" s="110"/>
      <c r="V48" s="110"/>
      <c r="W48" s="110"/>
      <c r="X48" s="128"/>
      <c r="Y48" s="127"/>
      <c r="Z48" s="110"/>
      <c r="AA48" s="110"/>
      <c r="AB48" s="110"/>
      <c r="AC48" s="110"/>
      <c r="AD48" s="110"/>
      <c r="AE48" s="110"/>
      <c r="AF48" s="110"/>
      <c r="AG48" s="110"/>
      <c r="AH48" s="128"/>
      <c r="AI48" s="139" t="e">
        <f>AN45</f>
        <v>#REF!</v>
      </c>
      <c r="AJ48" s="110"/>
      <c r="AK48" s="110"/>
      <c r="AL48" s="110"/>
      <c r="AM48" s="110"/>
      <c r="AN48" s="110"/>
      <c r="AO48" s="110"/>
      <c r="AP48" s="110"/>
      <c r="AQ48" s="110"/>
      <c r="AR48" s="128"/>
      <c r="AS48" s="139" t="e">
        <f>AX45</f>
        <v>#REF!</v>
      </c>
      <c r="AT48" s="110"/>
      <c r="AU48" s="110"/>
      <c r="AV48" s="110"/>
      <c r="AW48" s="110"/>
      <c r="AX48" s="110"/>
      <c r="AY48" s="110"/>
      <c r="AZ48" s="110"/>
      <c r="BA48" s="110"/>
      <c r="BB48" s="128"/>
      <c r="BC48" s="139" t="e">
        <f>BH45</f>
        <v>#REF!</v>
      </c>
      <c r="BD48" s="110"/>
      <c r="BE48" s="110"/>
      <c r="BF48" s="110"/>
      <c r="BG48" s="110"/>
      <c r="BH48" s="110"/>
      <c r="BI48" s="110"/>
      <c r="BJ48" s="110"/>
      <c r="BK48" s="110"/>
      <c r="BL48" s="128"/>
      <c r="BM48" s="127"/>
      <c r="BN48" s="110"/>
      <c r="BO48" s="110"/>
      <c r="BP48" s="110"/>
      <c r="BQ48" s="110"/>
      <c r="BR48" s="110"/>
      <c r="BS48" s="110"/>
      <c r="BT48" s="110"/>
      <c r="BU48" s="110"/>
      <c r="BV48" s="128"/>
      <c r="BW48" s="127"/>
      <c r="BX48" s="110"/>
      <c r="BY48" s="110"/>
      <c r="BZ48" s="110"/>
      <c r="CA48" s="110"/>
      <c r="CB48" s="110"/>
      <c r="CC48" s="110"/>
      <c r="CD48" s="110"/>
      <c r="CE48" s="110"/>
      <c r="CF48" s="128"/>
      <c r="CG48" s="127"/>
      <c r="CH48" s="110"/>
      <c r="CI48" s="110"/>
      <c r="CJ48" s="110"/>
      <c r="CK48" s="110"/>
      <c r="CL48" s="110"/>
      <c r="CM48" s="110"/>
      <c r="CN48" s="110"/>
      <c r="CO48" s="110"/>
      <c r="CP48" s="128"/>
      <c r="CQ48" s="127"/>
      <c r="CR48" s="110"/>
      <c r="CS48" s="110"/>
      <c r="CT48" s="110"/>
      <c r="CU48" s="110"/>
      <c r="CV48" s="110"/>
      <c r="CW48" s="110"/>
      <c r="CX48" s="110"/>
      <c r="CY48" s="110"/>
      <c r="CZ48" s="128"/>
      <c r="DA48" s="127"/>
      <c r="DB48" s="110"/>
      <c r="DC48" s="110"/>
      <c r="DD48" s="110"/>
      <c r="DE48" s="110"/>
      <c r="DF48" s="110"/>
      <c r="DG48" s="110"/>
      <c r="DH48" s="110"/>
      <c r="DI48" s="110"/>
      <c r="DJ48" s="111"/>
      <c r="DK48" s="66"/>
      <c r="DL48" s="122"/>
      <c r="DM48" s="123"/>
      <c r="DN48" s="123"/>
      <c r="DO48" s="123"/>
      <c r="DP48" s="123"/>
      <c r="DQ48" s="123"/>
      <c r="DR48" s="144"/>
      <c r="DS48" s="126"/>
      <c r="DT48" s="123"/>
      <c r="DU48" s="123"/>
      <c r="DV48" s="123"/>
      <c r="DW48" s="144"/>
      <c r="DX48" s="126"/>
      <c r="DY48" s="123"/>
      <c r="DZ48" s="123"/>
      <c r="EA48" s="123"/>
      <c r="EB48" s="124"/>
    </row>
    <row r="49" spans="1:132" x14ac:dyDescent="0.15">
      <c r="A49" s="53">
        <v>48</v>
      </c>
      <c r="B49" s="23"/>
      <c r="C49" s="145"/>
      <c r="D49" s="146"/>
      <c r="E49" s="146"/>
      <c r="F49" s="157"/>
      <c r="G49" s="21"/>
      <c r="H49" s="62"/>
      <c r="I49" s="62"/>
      <c r="J49" s="62"/>
      <c r="K49" s="62"/>
      <c r="L49" s="62"/>
      <c r="M49" s="62"/>
      <c r="N49" s="62"/>
      <c r="O49" s="63"/>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c r="AR49" s="62"/>
      <c r="AS49" s="62"/>
      <c r="AT49" s="62"/>
      <c r="AU49" s="62"/>
      <c r="AV49" s="62"/>
      <c r="AW49" s="62"/>
      <c r="AX49" s="62"/>
      <c r="AY49" s="62"/>
      <c r="AZ49" s="62"/>
      <c r="BA49" s="10"/>
      <c r="BB49" s="62"/>
      <c r="BC49" s="62"/>
      <c r="BD49" s="62"/>
      <c r="BE49" s="62"/>
      <c r="BF49" s="62"/>
      <c r="BG49" s="62"/>
      <c r="BH49" s="62"/>
      <c r="BI49" s="62"/>
      <c r="BJ49" s="62"/>
      <c r="BK49" s="62"/>
      <c r="BL49" s="62"/>
      <c r="BM49" s="62"/>
      <c r="BN49" s="62"/>
      <c r="BO49" s="62"/>
      <c r="BP49" s="62"/>
      <c r="BQ49" s="62"/>
      <c r="BR49" s="62"/>
      <c r="BS49" s="62"/>
      <c r="BT49" s="62"/>
      <c r="BU49" s="62"/>
      <c r="BV49" s="62"/>
      <c r="BW49" s="62"/>
      <c r="BX49" s="62"/>
      <c r="BY49" s="62"/>
      <c r="BZ49" s="62"/>
      <c r="CA49" s="62"/>
      <c r="CB49" s="62"/>
      <c r="CC49" s="62"/>
      <c r="CD49" s="62"/>
      <c r="CE49" s="62"/>
      <c r="CF49" s="62"/>
      <c r="CG49" s="62"/>
      <c r="CH49" s="62"/>
      <c r="CI49" s="62"/>
      <c r="CJ49" s="62"/>
      <c r="CK49" s="62"/>
      <c r="CL49" s="62"/>
      <c r="CM49" s="62"/>
      <c r="CN49" s="62"/>
      <c r="CO49" s="62"/>
      <c r="CP49" s="62"/>
      <c r="CQ49" s="62"/>
      <c r="CR49" s="62"/>
      <c r="CS49" s="62"/>
      <c r="CT49" s="62"/>
      <c r="CU49" s="62"/>
      <c r="CV49" s="62"/>
      <c r="CW49" s="62"/>
      <c r="CX49" s="62"/>
      <c r="CY49" s="62"/>
      <c r="CZ49" s="62"/>
      <c r="DA49" s="62"/>
      <c r="DB49" s="62"/>
      <c r="DC49" s="62"/>
      <c r="DD49" s="62"/>
      <c r="DE49" s="62"/>
      <c r="DF49" s="62"/>
      <c r="DG49" s="62"/>
      <c r="DH49" s="62"/>
      <c r="DI49" s="62"/>
      <c r="DJ49" s="62"/>
      <c r="DK49" s="57"/>
      <c r="DL49" s="122"/>
      <c r="DM49" s="123"/>
      <c r="DN49" s="123"/>
      <c r="DO49" s="123"/>
      <c r="DP49" s="123"/>
      <c r="DQ49" s="123"/>
      <c r="DR49" s="144"/>
      <c r="DS49" s="126"/>
      <c r="DT49" s="123"/>
      <c r="DU49" s="123"/>
      <c r="DV49" s="123"/>
      <c r="DW49" s="144"/>
      <c r="DX49" s="126"/>
      <c r="DY49" s="123"/>
      <c r="DZ49" s="123"/>
      <c r="EA49" s="123"/>
      <c r="EB49" s="124"/>
    </row>
    <row r="50" spans="1:132" x14ac:dyDescent="0.15">
      <c r="A50" s="53">
        <v>49</v>
      </c>
      <c r="B50" s="23"/>
      <c r="C50" s="145"/>
      <c r="D50" s="146"/>
      <c r="E50" s="146"/>
      <c r="F50" s="157"/>
      <c r="G50" s="147"/>
      <c r="H50" s="148"/>
      <c r="I50" s="148"/>
      <c r="J50" s="148"/>
      <c r="K50" s="148"/>
      <c r="L50" s="148"/>
      <c r="M50" s="148"/>
      <c r="N50" s="148"/>
      <c r="O50" s="148"/>
      <c r="P50" s="148"/>
      <c r="Q50" s="148"/>
      <c r="R50" s="148"/>
      <c r="S50" s="148"/>
      <c r="T50" s="148"/>
      <c r="U50" s="148"/>
      <c r="V50" s="148"/>
      <c r="W50" s="148"/>
      <c r="X50" s="148"/>
      <c r="Y50" s="148"/>
      <c r="Z50" s="148"/>
      <c r="AA50" s="148"/>
      <c r="AB50" s="148"/>
      <c r="AC50" s="148"/>
      <c r="AD50" s="150"/>
      <c r="AE50" s="41"/>
      <c r="AF50" s="147"/>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50"/>
      <c r="BD50" s="41"/>
      <c r="BE50" s="147"/>
      <c r="BF50" s="148"/>
      <c r="BG50" s="148"/>
      <c r="BH50" s="148"/>
      <c r="BI50" s="148"/>
      <c r="BJ50" s="148"/>
      <c r="BK50" s="148"/>
      <c r="BL50" s="148"/>
      <c r="BM50" s="148"/>
      <c r="BN50" s="148"/>
      <c r="BO50" s="148"/>
      <c r="BP50" s="148"/>
      <c r="BQ50" s="148"/>
      <c r="BR50" s="148"/>
      <c r="BS50" s="148"/>
      <c r="BT50" s="148"/>
      <c r="BU50" s="148"/>
      <c r="BV50" s="148"/>
      <c r="BW50" s="148"/>
      <c r="BX50" s="148"/>
      <c r="BY50" s="148"/>
      <c r="BZ50" s="148"/>
      <c r="CA50" s="148"/>
      <c r="CB50" s="150"/>
      <c r="CC50" s="41"/>
      <c r="CD50" s="147"/>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149"/>
      <c r="DC50" s="148"/>
      <c r="DD50" s="148"/>
      <c r="DE50" s="148"/>
      <c r="DF50" s="148"/>
      <c r="DG50" s="148"/>
      <c r="DH50" s="148"/>
      <c r="DI50" s="150"/>
      <c r="DJ50" s="41"/>
      <c r="DK50" s="57"/>
      <c r="DL50" s="122"/>
      <c r="DM50" s="123"/>
      <c r="DN50" s="123"/>
      <c r="DO50" s="123"/>
      <c r="DP50" s="123"/>
      <c r="DQ50" s="123"/>
      <c r="DR50" s="144"/>
      <c r="DS50" s="126"/>
      <c r="DT50" s="123"/>
      <c r="DU50" s="123"/>
      <c r="DV50" s="123"/>
      <c r="DW50" s="144"/>
      <c r="DX50" s="126"/>
      <c r="DY50" s="123"/>
      <c r="DZ50" s="123"/>
      <c r="EA50" s="123"/>
      <c r="EB50" s="124"/>
    </row>
    <row r="51" spans="1:132" x14ac:dyDescent="0.15">
      <c r="A51" s="53">
        <v>50</v>
      </c>
      <c r="B51" s="23"/>
      <c r="C51" s="145"/>
      <c r="D51" s="146"/>
      <c r="E51" s="146"/>
      <c r="F51" s="157"/>
      <c r="G51" s="122"/>
      <c r="H51" s="123"/>
      <c r="I51" s="123"/>
      <c r="J51" s="123"/>
      <c r="K51" s="123"/>
      <c r="L51" s="123"/>
      <c r="M51" s="123"/>
      <c r="N51" s="123"/>
      <c r="O51" s="123"/>
      <c r="P51" s="123"/>
      <c r="Q51" s="123"/>
      <c r="R51" s="123"/>
      <c r="S51" s="123"/>
      <c r="T51" s="123"/>
      <c r="U51" s="123"/>
      <c r="V51" s="144"/>
      <c r="W51" s="126"/>
      <c r="X51" s="123"/>
      <c r="Y51" s="123"/>
      <c r="Z51" s="123"/>
      <c r="AA51" s="123"/>
      <c r="AB51" s="123"/>
      <c r="AC51" s="123"/>
      <c r="AD51" s="124"/>
      <c r="AE51" s="41"/>
      <c r="AF51" s="122"/>
      <c r="AG51" s="123"/>
      <c r="AH51" s="123"/>
      <c r="AI51" s="123"/>
      <c r="AJ51" s="123"/>
      <c r="AK51" s="123"/>
      <c r="AL51" s="123"/>
      <c r="AM51" s="123"/>
      <c r="AN51" s="123"/>
      <c r="AO51" s="123"/>
      <c r="AP51" s="123"/>
      <c r="AQ51" s="123"/>
      <c r="AR51" s="123"/>
      <c r="AS51" s="123"/>
      <c r="AT51" s="123"/>
      <c r="AU51" s="144"/>
      <c r="AV51" s="126"/>
      <c r="AW51" s="123"/>
      <c r="AX51" s="123"/>
      <c r="AY51" s="123"/>
      <c r="AZ51" s="123"/>
      <c r="BA51" s="123"/>
      <c r="BB51" s="123"/>
      <c r="BC51" s="124"/>
      <c r="BD51" s="41"/>
      <c r="BE51" s="122"/>
      <c r="BF51" s="123"/>
      <c r="BG51" s="123"/>
      <c r="BH51" s="123"/>
      <c r="BI51" s="123"/>
      <c r="BJ51" s="123"/>
      <c r="BK51" s="123"/>
      <c r="BL51" s="123"/>
      <c r="BM51" s="123"/>
      <c r="BN51" s="123"/>
      <c r="BO51" s="123"/>
      <c r="BP51" s="123"/>
      <c r="BQ51" s="123"/>
      <c r="BR51" s="123"/>
      <c r="BS51" s="123"/>
      <c r="BT51" s="144"/>
      <c r="BU51" s="126"/>
      <c r="BV51" s="123"/>
      <c r="BW51" s="123"/>
      <c r="BX51" s="123"/>
      <c r="BY51" s="123"/>
      <c r="BZ51" s="123"/>
      <c r="CA51" s="123"/>
      <c r="CB51" s="124"/>
      <c r="CC51" s="41"/>
      <c r="CD51" s="122"/>
      <c r="CE51" s="123"/>
      <c r="CF51" s="123"/>
      <c r="CG51" s="123"/>
      <c r="CH51" s="123"/>
      <c r="CI51" s="123"/>
      <c r="CJ51" s="123"/>
      <c r="CK51" s="123"/>
      <c r="CL51" s="123"/>
      <c r="CM51" s="123"/>
      <c r="CN51" s="123"/>
      <c r="CO51" s="123"/>
      <c r="CP51" s="123"/>
      <c r="CQ51" s="123"/>
      <c r="CR51" s="123"/>
      <c r="CS51" s="144"/>
      <c r="CT51" s="126"/>
      <c r="CU51" s="123"/>
      <c r="CV51" s="123"/>
      <c r="CW51" s="123"/>
      <c r="CX51" s="123"/>
      <c r="CY51" s="123"/>
      <c r="CZ51" s="123"/>
      <c r="DA51" s="123"/>
      <c r="DB51" s="126"/>
      <c r="DC51" s="123"/>
      <c r="DD51" s="123"/>
      <c r="DE51" s="123"/>
      <c r="DF51" s="123"/>
      <c r="DG51" s="123"/>
      <c r="DH51" s="123"/>
      <c r="DI51" s="124"/>
      <c r="DJ51" s="41"/>
      <c r="DK51" s="57"/>
      <c r="DL51" s="122"/>
      <c r="DM51" s="123"/>
      <c r="DN51" s="123"/>
      <c r="DO51" s="123"/>
      <c r="DP51" s="123"/>
      <c r="DQ51" s="123"/>
      <c r="DR51" s="144"/>
      <c r="DS51" s="126"/>
      <c r="DT51" s="123"/>
      <c r="DU51" s="123"/>
      <c r="DV51" s="123"/>
      <c r="DW51" s="144"/>
      <c r="DX51" s="126"/>
      <c r="DY51" s="123"/>
      <c r="DZ51" s="123"/>
      <c r="EA51" s="123"/>
      <c r="EB51" s="124"/>
    </row>
    <row r="52" spans="1:132" x14ac:dyDescent="0.15">
      <c r="A52" s="52">
        <v>51</v>
      </c>
      <c r="B52" s="23"/>
      <c r="C52" s="145"/>
      <c r="D52" s="146"/>
      <c r="E52" s="146"/>
      <c r="F52" s="157"/>
      <c r="G52" s="122"/>
      <c r="H52" s="123"/>
      <c r="I52" s="123"/>
      <c r="J52" s="123"/>
      <c r="K52" s="123"/>
      <c r="L52" s="123"/>
      <c r="M52" s="123"/>
      <c r="N52" s="144"/>
      <c r="O52" s="143"/>
      <c r="P52" s="123"/>
      <c r="Q52" s="123"/>
      <c r="R52" s="123"/>
      <c r="S52" s="123"/>
      <c r="T52" s="123"/>
      <c r="U52" s="123"/>
      <c r="V52" s="144"/>
      <c r="W52" s="126"/>
      <c r="X52" s="123"/>
      <c r="Y52" s="123"/>
      <c r="Z52" s="123"/>
      <c r="AA52" s="123"/>
      <c r="AB52" s="123"/>
      <c r="AC52" s="123"/>
      <c r="AD52" s="124"/>
      <c r="AE52" s="41"/>
      <c r="AF52" s="122"/>
      <c r="AG52" s="123"/>
      <c r="AH52" s="123"/>
      <c r="AI52" s="123"/>
      <c r="AJ52" s="123"/>
      <c r="AK52" s="123"/>
      <c r="AL52" s="123"/>
      <c r="AM52" s="144"/>
      <c r="AN52" s="143"/>
      <c r="AO52" s="123"/>
      <c r="AP52" s="123"/>
      <c r="AQ52" s="123"/>
      <c r="AR52" s="123"/>
      <c r="AS52" s="123"/>
      <c r="AT52" s="123"/>
      <c r="AU52" s="144"/>
      <c r="AV52" s="126"/>
      <c r="AW52" s="123"/>
      <c r="AX52" s="123"/>
      <c r="AY52" s="123"/>
      <c r="AZ52" s="123"/>
      <c r="BA52" s="123"/>
      <c r="BB52" s="123"/>
      <c r="BC52" s="124"/>
      <c r="BD52" s="41"/>
      <c r="BE52" s="122"/>
      <c r="BF52" s="123"/>
      <c r="BG52" s="123"/>
      <c r="BH52" s="123"/>
      <c r="BI52" s="123"/>
      <c r="BJ52" s="123"/>
      <c r="BK52" s="123"/>
      <c r="BL52" s="144"/>
      <c r="BM52" s="143"/>
      <c r="BN52" s="123"/>
      <c r="BO52" s="123"/>
      <c r="BP52" s="123"/>
      <c r="BQ52" s="123"/>
      <c r="BR52" s="123"/>
      <c r="BS52" s="123"/>
      <c r="BT52" s="144"/>
      <c r="BU52" s="126"/>
      <c r="BV52" s="123"/>
      <c r="BW52" s="123"/>
      <c r="BX52" s="123"/>
      <c r="BY52" s="123"/>
      <c r="BZ52" s="123"/>
      <c r="CA52" s="123"/>
      <c r="CB52" s="124"/>
      <c r="CC52" s="41"/>
      <c r="CD52" s="122"/>
      <c r="CE52" s="123"/>
      <c r="CF52" s="123"/>
      <c r="CG52" s="123"/>
      <c r="CH52" s="123"/>
      <c r="CI52" s="123"/>
      <c r="CJ52" s="123"/>
      <c r="CK52" s="144"/>
      <c r="CL52" s="143"/>
      <c r="CM52" s="123"/>
      <c r="CN52" s="123"/>
      <c r="CO52" s="123"/>
      <c r="CP52" s="123"/>
      <c r="CQ52" s="123"/>
      <c r="CR52" s="123"/>
      <c r="CS52" s="144"/>
      <c r="CT52" s="126"/>
      <c r="CU52" s="123"/>
      <c r="CV52" s="123"/>
      <c r="CW52" s="123"/>
      <c r="CX52" s="123"/>
      <c r="CY52" s="123"/>
      <c r="CZ52" s="123"/>
      <c r="DA52" s="123"/>
      <c r="DB52" s="126"/>
      <c r="DC52" s="123"/>
      <c r="DD52" s="123"/>
      <c r="DE52" s="123"/>
      <c r="DF52" s="123"/>
      <c r="DG52" s="123"/>
      <c r="DH52" s="123"/>
      <c r="DI52" s="124"/>
      <c r="DJ52" s="41"/>
      <c r="DK52" s="57"/>
      <c r="DL52" s="122"/>
      <c r="DM52" s="123"/>
      <c r="DN52" s="123"/>
      <c r="DO52" s="123"/>
      <c r="DP52" s="123"/>
      <c r="DQ52" s="123"/>
      <c r="DR52" s="144"/>
      <c r="DS52" s="126"/>
      <c r="DT52" s="123"/>
      <c r="DU52" s="123"/>
      <c r="DV52" s="123"/>
      <c r="DW52" s="144"/>
      <c r="DX52" s="126"/>
      <c r="DY52" s="123"/>
      <c r="DZ52" s="123"/>
      <c r="EA52" s="123"/>
      <c r="EB52" s="124"/>
    </row>
    <row r="53" spans="1:132" x14ac:dyDescent="0.15">
      <c r="A53" s="53">
        <v>52</v>
      </c>
      <c r="B53" s="23"/>
      <c r="C53" s="145"/>
      <c r="D53" s="146"/>
      <c r="E53" s="146"/>
      <c r="F53" s="157"/>
      <c r="G53" s="122"/>
      <c r="H53" s="123"/>
      <c r="I53" s="123"/>
      <c r="J53" s="123"/>
      <c r="K53" s="123"/>
      <c r="L53" s="123"/>
      <c r="M53" s="123"/>
      <c r="N53" s="144"/>
      <c r="O53" s="143"/>
      <c r="P53" s="123"/>
      <c r="Q53" s="123"/>
      <c r="R53" s="123"/>
      <c r="S53" s="123"/>
      <c r="T53" s="123"/>
      <c r="U53" s="123"/>
      <c r="V53" s="144"/>
      <c r="W53" s="126"/>
      <c r="X53" s="123"/>
      <c r="Y53" s="123"/>
      <c r="Z53" s="123"/>
      <c r="AA53" s="123"/>
      <c r="AB53" s="123"/>
      <c r="AC53" s="123"/>
      <c r="AD53" s="124"/>
      <c r="AE53" s="41"/>
      <c r="AF53" s="122"/>
      <c r="AG53" s="123"/>
      <c r="AH53" s="123"/>
      <c r="AI53" s="123"/>
      <c r="AJ53" s="123"/>
      <c r="AK53" s="123"/>
      <c r="AL53" s="123"/>
      <c r="AM53" s="144"/>
      <c r="AN53" s="143"/>
      <c r="AO53" s="123"/>
      <c r="AP53" s="123"/>
      <c r="AQ53" s="123"/>
      <c r="AR53" s="123"/>
      <c r="AS53" s="123"/>
      <c r="AT53" s="123"/>
      <c r="AU53" s="144"/>
      <c r="AV53" s="126"/>
      <c r="AW53" s="123"/>
      <c r="AX53" s="123"/>
      <c r="AY53" s="123"/>
      <c r="AZ53" s="123"/>
      <c r="BA53" s="123"/>
      <c r="BB53" s="123"/>
      <c r="BC53" s="124"/>
      <c r="BD53" s="41"/>
      <c r="BE53" s="122"/>
      <c r="BF53" s="123"/>
      <c r="BG53" s="123"/>
      <c r="BH53" s="123"/>
      <c r="BI53" s="123"/>
      <c r="BJ53" s="123"/>
      <c r="BK53" s="123"/>
      <c r="BL53" s="144"/>
      <c r="BM53" s="143"/>
      <c r="BN53" s="123"/>
      <c r="BO53" s="123"/>
      <c r="BP53" s="123"/>
      <c r="BQ53" s="123"/>
      <c r="BR53" s="123"/>
      <c r="BS53" s="123"/>
      <c r="BT53" s="144"/>
      <c r="BU53" s="126"/>
      <c r="BV53" s="123"/>
      <c r="BW53" s="123"/>
      <c r="BX53" s="123"/>
      <c r="BY53" s="123"/>
      <c r="BZ53" s="123"/>
      <c r="CA53" s="123"/>
      <c r="CB53" s="124"/>
      <c r="CC53" s="41"/>
      <c r="CD53" s="122"/>
      <c r="CE53" s="123"/>
      <c r="CF53" s="123"/>
      <c r="CG53" s="123"/>
      <c r="CH53" s="123"/>
      <c r="CI53" s="123"/>
      <c r="CJ53" s="123"/>
      <c r="CK53" s="144"/>
      <c r="CL53" s="143"/>
      <c r="CM53" s="123"/>
      <c r="CN53" s="123"/>
      <c r="CO53" s="123"/>
      <c r="CP53" s="123"/>
      <c r="CQ53" s="123"/>
      <c r="CR53" s="123"/>
      <c r="CS53" s="144"/>
      <c r="CT53" s="126"/>
      <c r="CU53" s="123"/>
      <c r="CV53" s="123"/>
      <c r="CW53" s="123"/>
      <c r="CX53" s="123"/>
      <c r="CY53" s="123"/>
      <c r="CZ53" s="123"/>
      <c r="DA53" s="123"/>
      <c r="DB53" s="126"/>
      <c r="DC53" s="123"/>
      <c r="DD53" s="123"/>
      <c r="DE53" s="123"/>
      <c r="DF53" s="123"/>
      <c r="DG53" s="123"/>
      <c r="DH53" s="123"/>
      <c r="DI53" s="124"/>
      <c r="DJ53" s="41"/>
      <c r="DK53" s="57"/>
      <c r="DL53" s="122"/>
      <c r="DM53" s="123"/>
      <c r="DN53" s="123"/>
      <c r="DO53" s="123"/>
      <c r="DP53" s="123"/>
      <c r="DQ53" s="123"/>
      <c r="DR53" s="144"/>
      <c r="DS53" s="126"/>
      <c r="DT53" s="123"/>
      <c r="DU53" s="123"/>
      <c r="DV53" s="123"/>
      <c r="DW53" s="144"/>
      <c r="DX53" s="126"/>
      <c r="DY53" s="123"/>
      <c r="DZ53" s="123"/>
      <c r="EA53" s="123"/>
      <c r="EB53" s="61"/>
    </row>
    <row r="54" spans="1:132" x14ac:dyDescent="0.15">
      <c r="A54" s="53">
        <v>53</v>
      </c>
      <c r="B54" s="23"/>
      <c r="C54" s="145"/>
      <c r="D54" s="146"/>
      <c r="E54" s="146"/>
      <c r="F54" s="157"/>
      <c r="G54" s="122"/>
      <c r="H54" s="123"/>
      <c r="I54" s="123"/>
      <c r="J54" s="123"/>
      <c r="K54" s="123"/>
      <c r="L54" s="123"/>
      <c r="M54" s="123"/>
      <c r="N54" s="144"/>
      <c r="O54" s="143"/>
      <c r="P54" s="123"/>
      <c r="Q54" s="123"/>
      <c r="R54" s="123"/>
      <c r="S54" s="123"/>
      <c r="T54" s="123"/>
      <c r="U54" s="123"/>
      <c r="V54" s="144"/>
      <c r="W54" s="126"/>
      <c r="X54" s="123"/>
      <c r="Y54" s="123"/>
      <c r="Z54" s="123"/>
      <c r="AA54" s="123"/>
      <c r="AB54" s="123"/>
      <c r="AC54" s="123"/>
      <c r="AD54" s="124"/>
      <c r="AE54" s="41"/>
      <c r="AF54" s="122"/>
      <c r="AG54" s="123"/>
      <c r="AH54" s="123"/>
      <c r="AI54" s="123"/>
      <c r="AJ54" s="123"/>
      <c r="AK54" s="123"/>
      <c r="AL54" s="123"/>
      <c r="AM54" s="144"/>
      <c r="AN54" s="143"/>
      <c r="AO54" s="123"/>
      <c r="AP54" s="123"/>
      <c r="AQ54" s="123"/>
      <c r="AR54" s="123"/>
      <c r="AS54" s="123"/>
      <c r="AT54" s="123"/>
      <c r="AU54" s="144"/>
      <c r="AV54" s="126"/>
      <c r="AW54" s="123"/>
      <c r="AX54" s="123"/>
      <c r="AY54" s="123"/>
      <c r="AZ54" s="123"/>
      <c r="BA54" s="123"/>
      <c r="BB54" s="123"/>
      <c r="BC54" s="124"/>
      <c r="BD54" s="41"/>
      <c r="BE54" s="122"/>
      <c r="BF54" s="123"/>
      <c r="BG54" s="123"/>
      <c r="BH54" s="123"/>
      <c r="BI54" s="123"/>
      <c r="BJ54" s="123"/>
      <c r="BK54" s="123"/>
      <c r="BL54" s="144"/>
      <c r="BM54" s="244"/>
      <c r="BN54" s="245"/>
      <c r="BO54" s="245"/>
      <c r="BP54" s="245"/>
      <c r="BQ54" s="245"/>
      <c r="BR54" s="245"/>
      <c r="BS54" s="245"/>
      <c r="BT54" s="246"/>
      <c r="BU54" s="126"/>
      <c r="BV54" s="123"/>
      <c r="BW54" s="123"/>
      <c r="BX54" s="123"/>
      <c r="BY54" s="123"/>
      <c r="BZ54" s="123"/>
      <c r="CA54" s="123"/>
      <c r="CB54" s="124"/>
      <c r="CC54" s="41"/>
      <c r="CD54" s="122"/>
      <c r="CE54" s="123"/>
      <c r="CF54" s="123"/>
      <c r="CG54" s="123"/>
      <c r="CH54" s="123"/>
      <c r="CI54" s="123"/>
      <c r="CJ54" s="123"/>
      <c r="CK54" s="144"/>
      <c r="CL54" s="143"/>
      <c r="CM54" s="123"/>
      <c r="CN54" s="123"/>
      <c r="CO54" s="123"/>
      <c r="CP54" s="123"/>
      <c r="CQ54" s="123"/>
      <c r="CR54" s="123"/>
      <c r="CS54" s="144"/>
      <c r="CT54" s="126"/>
      <c r="CU54" s="123"/>
      <c r="CV54" s="123"/>
      <c r="CW54" s="123"/>
      <c r="CX54" s="123"/>
      <c r="CY54" s="123"/>
      <c r="CZ54" s="123"/>
      <c r="DA54" s="123"/>
      <c r="DB54" s="126"/>
      <c r="DC54" s="123"/>
      <c r="DD54" s="123"/>
      <c r="DE54" s="123"/>
      <c r="DF54" s="123"/>
      <c r="DG54" s="123"/>
      <c r="DH54" s="123"/>
      <c r="DI54" s="124"/>
      <c r="DJ54" s="41"/>
      <c r="DK54" s="57"/>
      <c r="DL54" s="122"/>
      <c r="DM54" s="123"/>
      <c r="DN54" s="123"/>
      <c r="DO54" s="123"/>
      <c r="DP54" s="123"/>
      <c r="DQ54" s="123"/>
      <c r="DR54" s="144"/>
      <c r="DS54" s="126"/>
      <c r="DT54" s="123"/>
      <c r="DU54" s="123"/>
      <c r="DV54" s="123"/>
      <c r="DW54" s="144"/>
      <c r="DX54" s="126"/>
      <c r="DY54" s="123"/>
      <c r="DZ54" s="123"/>
      <c r="EA54" s="123"/>
      <c r="EB54" s="61"/>
    </row>
    <row r="55" spans="1:132" x14ac:dyDescent="0.15">
      <c r="A55" s="53">
        <v>54</v>
      </c>
      <c r="B55" s="23"/>
      <c r="C55" s="145"/>
      <c r="D55" s="146"/>
      <c r="E55" s="146"/>
      <c r="F55" s="157"/>
      <c r="G55" s="122"/>
      <c r="H55" s="123"/>
      <c r="I55" s="123"/>
      <c r="J55" s="123"/>
      <c r="K55" s="123"/>
      <c r="L55" s="123"/>
      <c r="M55" s="123"/>
      <c r="N55" s="144"/>
      <c r="O55" s="143"/>
      <c r="P55" s="123"/>
      <c r="Q55" s="123"/>
      <c r="R55" s="123"/>
      <c r="S55" s="123"/>
      <c r="T55" s="123"/>
      <c r="U55" s="123"/>
      <c r="V55" s="144"/>
      <c r="W55" s="126"/>
      <c r="X55" s="123"/>
      <c r="Y55" s="123"/>
      <c r="Z55" s="123"/>
      <c r="AA55" s="123"/>
      <c r="AB55" s="123"/>
      <c r="AC55" s="123"/>
      <c r="AD55" s="124"/>
      <c r="AE55" s="41"/>
      <c r="AF55" s="122"/>
      <c r="AG55" s="123"/>
      <c r="AH55" s="123"/>
      <c r="AI55" s="123"/>
      <c r="AJ55" s="123"/>
      <c r="AK55" s="123"/>
      <c r="AL55" s="123"/>
      <c r="AM55" s="144"/>
      <c r="AN55" s="143"/>
      <c r="AO55" s="123"/>
      <c r="AP55" s="123"/>
      <c r="AQ55" s="123"/>
      <c r="AR55" s="123"/>
      <c r="AS55" s="123"/>
      <c r="AT55" s="123"/>
      <c r="AU55" s="144"/>
      <c r="AV55" s="126"/>
      <c r="AW55" s="123"/>
      <c r="AX55" s="123"/>
      <c r="AY55" s="123"/>
      <c r="AZ55" s="123"/>
      <c r="BA55" s="123"/>
      <c r="BB55" s="123"/>
      <c r="BC55" s="124"/>
      <c r="BD55" s="41"/>
      <c r="BE55" s="122"/>
      <c r="BF55" s="123"/>
      <c r="BG55" s="123"/>
      <c r="BH55" s="123"/>
      <c r="BI55" s="123"/>
      <c r="BJ55" s="123"/>
      <c r="BK55" s="123"/>
      <c r="BL55" s="144"/>
      <c r="BM55" s="143"/>
      <c r="BN55" s="123"/>
      <c r="BO55" s="123"/>
      <c r="BP55" s="123"/>
      <c r="BQ55" s="123"/>
      <c r="BR55" s="123"/>
      <c r="BS55" s="123"/>
      <c r="BT55" s="144"/>
      <c r="BU55" s="126"/>
      <c r="BV55" s="123"/>
      <c r="BW55" s="123"/>
      <c r="BX55" s="123"/>
      <c r="BY55" s="123"/>
      <c r="BZ55" s="123"/>
      <c r="CA55" s="123"/>
      <c r="CB55" s="124"/>
      <c r="CC55" s="41"/>
      <c r="CD55" s="122"/>
      <c r="CE55" s="123"/>
      <c r="CF55" s="123"/>
      <c r="CG55" s="123"/>
      <c r="CH55" s="123"/>
      <c r="CI55" s="123"/>
      <c r="CJ55" s="123"/>
      <c r="CK55" s="144"/>
      <c r="CL55" s="143"/>
      <c r="CM55" s="123"/>
      <c r="CN55" s="123"/>
      <c r="CO55" s="123"/>
      <c r="CP55" s="123"/>
      <c r="CQ55" s="123"/>
      <c r="CR55" s="123"/>
      <c r="CS55" s="144"/>
      <c r="CT55" s="126"/>
      <c r="CU55" s="123"/>
      <c r="CV55" s="123"/>
      <c r="CW55" s="123"/>
      <c r="CX55" s="123"/>
      <c r="CY55" s="123"/>
      <c r="CZ55" s="123"/>
      <c r="DA55" s="123"/>
      <c r="DB55" s="126"/>
      <c r="DC55" s="123"/>
      <c r="DD55" s="123"/>
      <c r="DE55" s="123"/>
      <c r="DF55" s="123"/>
      <c r="DG55" s="123"/>
      <c r="DH55" s="123"/>
      <c r="DI55" s="124"/>
      <c r="DJ55" s="41"/>
      <c r="DK55" s="57"/>
      <c r="DL55" s="122"/>
      <c r="DM55" s="123"/>
      <c r="DN55" s="123"/>
      <c r="DO55" s="123"/>
      <c r="DP55" s="123"/>
      <c r="DQ55" s="123"/>
      <c r="DR55" s="144"/>
      <c r="DS55" s="126"/>
      <c r="DT55" s="123"/>
      <c r="DU55" s="123"/>
      <c r="DV55" s="123"/>
      <c r="DW55" s="144"/>
      <c r="DX55" s="126"/>
      <c r="DY55" s="123"/>
      <c r="DZ55" s="123"/>
      <c r="EA55" s="123"/>
      <c r="EB55" s="124"/>
    </row>
    <row r="56" spans="1:132" x14ac:dyDescent="0.15">
      <c r="A56" s="53">
        <v>55</v>
      </c>
      <c r="B56" s="23"/>
      <c r="C56" s="145"/>
      <c r="D56" s="146"/>
      <c r="E56" s="146"/>
      <c r="F56" s="157"/>
      <c r="G56" s="122"/>
      <c r="H56" s="123"/>
      <c r="I56" s="123"/>
      <c r="J56" s="123"/>
      <c r="K56" s="123"/>
      <c r="L56" s="123"/>
      <c r="M56" s="123"/>
      <c r="N56" s="144"/>
      <c r="O56" s="143"/>
      <c r="P56" s="123"/>
      <c r="Q56" s="123"/>
      <c r="R56" s="123"/>
      <c r="S56" s="123"/>
      <c r="T56" s="123"/>
      <c r="U56" s="123"/>
      <c r="V56" s="144"/>
      <c r="W56" s="126"/>
      <c r="X56" s="123"/>
      <c r="Y56" s="123"/>
      <c r="Z56" s="123"/>
      <c r="AA56" s="123"/>
      <c r="AB56" s="123"/>
      <c r="AC56" s="123"/>
      <c r="AD56" s="124"/>
      <c r="AE56" s="41"/>
      <c r="AF56" s="122"/>
      <c r="AG56" s="123"/>
      <c r="AH56" s="123"/>
      <c r="AI56" s="123"/>
      <c r="AJ56" s="123"/>
      <c r="AK56" s="123"/>
      <c r="AL56" s="123"/>
      <c r="AM56" s="144"/>
      <c r="AN56" s="143"/>
      <c r="AO56" s="123"/>
      <c r="AP56" s="123"/>
      <c r="AQ56" s="123"/>
      <c r="AR56" s="123"/>
      <c r="AS56" s="123"/>
      <c r="AT56" s="123"/>
      <c r="AU56" s="144"/>
      <c r="AV56" s="126"/>
      <c r="AW56" s="123"/>
      <c r="AX56" s="123"/>
      <c r="AY56" s="123"/>
      <c r="AZ56" s="123"/>
      <c r="BA56" s="123"/>
      <c r="BB56" s="123"/>
      <c r="BC56" s="124"/>
      <c r="BD56" s="41"/>
      <c r="BE56" s="122"/>
      <c r="BF56" s="123"/>
      <c r="BG56" s="123"/>
      <c r="BH56" s="123"/>
      <c r="BI56" s="123"/>
      <c r="BJ56" s="123"/>
      <c r="BK56" s="123"/>
      <c r="BL56" s="144"/>
      <c r="BM56" s="143"/>
      <c r="BN56" s="123"/>
      <c r="BO56" s="123"/>
      <c r="BP56" s="123"/>
      <c r="BQ56" s="123"/>
      <c r="BR56" s="123"/>
      <c r="BS56" s="123"/>
      <c r="BT56" s="144"/>
      <c r="BU56" s="126"/>
      <c r="BV56" s="123"/>
      <c r="BW56" s="123"/>
      <c r="BX56" s="123"/>
      <c r="BY56" s="123"/>
      <c r="BZ56" s="123"/>
      <c r="CA56" s="123"/>
      <c r="CB56" s="124"/>
      <c r="CC56" s="41"/>
      <c r="CD56" s="122"/>
      <c r="CE56" s="123"/>
      <c r="CF56" s="123"/>
      <c r="CG56" s="123"/>
      <c r="CH56" s="123"/>
      <c r="CI56" s="123"/>
      <c r="CJ56" s="123"/>
      <c r="CK56" s="144"/>
      <c r="CL56" s="143"/>
      <c r="CM56" s="123"/>
      <c r="CN56" s="123"/>
      <c r="CO56" s="123"/>
      <c r="CP56" s="123"/>
      <c r="CQ56" s="123"/>
      <c r="CR56" s="123"/>
      <c r="CS56" s="144"/>
      <c r="CT56" s="126"/>
      <c r="CU56" s="123"/>
      <c r="CV56" s="123"/>
      <c r="CW56" s="123"/>
      <c r="CX56" s="123"/>
      <c r="CY56" s="123"/>
      <c r="CZ56" s="123"/>
      <c r="DA56" s="123"/>
      <c r="DB56" s="126"/>
      <c r="DC56" s="123"/>
      <c r="DD56" s="123"/>
      <c r="DE56" s="123"/>
      <c r="DF56" s="123"/>
      <c r="DG56" s="123"/>
      <c r="DH56" s="123"/>
      <c r="DI56" s="124"/>
      <c r="DJ56" s="41"/>
      <c r="DK56" s="57"/>
      <c r="DL56" s="122"/>
      <c r="DM56" s="123"/>
      <c r="DN56" s="123"/>
      <c r="DO56" s="123"/>
      <c r="DP56" s="123"/>
      <c r="DQ56" s="123"/>
      <c r="DR56" s="144"/>
      <c r="DS56" s="126"/>
      <c r="DT56" s="123"/>
      <c r="DU56" s="123"/>
      <c r="DV56" s="123"/>
      <c r="DW56" s="144"/>
      <c r="DX56" s="126"/>
      <c r="DY56" s="123"/>
      <c r="DZ56" s="123"/>
      <c r="EA56" s="123"/>
      <c r="EB56" s="124"/>
    </row>
    <row r="57" spans="1:132" x14ac:dyDescent="0.15">
      <c r="A57" s="52">
        <v>56</v>
      </c>
      <c r="B57" s="23"/>
      <c r="C57" s="145"/>
      <c r="D57" s="146"/>
      <c r="E57" s="146"/>
      <c r="F57" s="157"/>
      <c r="G57" s="122"/>
      <c r="H57" s="123"/>
      <c r="I57" s="123"/>
      <c r="J57" s="123"/>
      <c r="K57" s="123"/>
      <c r="L57" s="123"/>
      <c r="M57" s="123"/>
      <c r="N57" s="144"/>
      <c r="O57" s="143"/>
      <c r="P57" s="123"/>
      <c r="Q57" s="123"/>
      <c r="R57" s="123"/>
      <c r="S57" s="123"/>
      <c r="T57" s="123"/>
      <c r="U57" s="123"/>
      <c r="V57" s="144"/>
      <c r="W57" s="126"/>
      <c r="X57" s="123"/>
      <c r="Y57" s="123"/>
      <c r="Z57" s="123"/>
      <c r="AA57" s="123"/>
      <c r="AB57" s="123"/>
      <c r="AC57" s="123"/>
      <c r="AD57" s="124"/>
      <c r="AE57" s="41"/>
      <c r="AF57" s="122"/>
      <c r="AG57" s="123"/>
      <c r="AH57" s="123"/>
      <c r="AI57" s="123"/>
      <c r="AJ57" s="123"/>
      <c r="AK57" s="123"/>
      <c r="AL57" s="123"/>
      <c r="AM57" s="144"/>
      <c r="AN57" s="143"/>
      <c r="AO57" s="123"/>
      <c r="AP57" s="123"/>
      <c r="AQ57" s="123"/>
      <c r="AR57" s="123"/>
      <c r="AS57" s="123"/>
      <c r="AT57" s="123"/>
      <c r="AU57" s="144"/>
      <c r="AV57" s="126"/>
      <c r="AW57" s="123"/>
      <c r="AX57" s="123"/>
      <c r="AY57" s="123"/>
      <c r="AZ57" s="123"/>
      <c r="BA57" s="123"/>
      <c r="BB57" s="123"/>
      <c r="BC57" s="124"/>
      <c r="BD57" s="41"/>
      <c r="BE57" s="122"/>
      <c r="BF57" s="123"/>
      <c r="BG57" s="123"/>
      <c r="BH57" s="123"/>
      <c r="BI57" s="123"/>
      <c r="BJ57" s="123"/>
      <c r="BK57" s="123"/>
      <c r="BL57" s="144"/>
      <c r="BM57" s="143"/>
      <c r="BN57" s="123"/>
      <c r="BO57" s="123"/>
      <c r="BP57" s="123"/>
      <c r="BQ57" s="123"/>
      <c r="BR57" s="123"/>
      <c r="BS57" s="123"/>
      <c r="BT57" s="144"/>
      <c r="BU57" s="126"/>
      <c r="BV57" s="123"/>
      <c r="BW57" s="123"/>
      <c r="BX57" s="123"/>
      <c r="BY57" s="123"/>
      <c r="BZ57" s="123"/>
      <c r="CA57" s="123"/>
      <c r="CB57" s="124"/>
      <c r="CC57" s="41"/>
      <c r="CD57" s="122"/>
      <c r="CE57" s="123"/>
      <c r="CF57" s="123"/>
      <c r="CG57" s="123"/>
      <c r="CH57" s="123"/>
      <c r="CI57" s="123"/>
      <c r="CJ57" s="123"/>
      <c r="CK57" s="123"/>
      <c r="CL57" s="123"/>
      <c r="CM57" s="123"/>
      <c r="CN57" s="123"/>
      <c r="CO57" s="123"/>
      <c r="CP57" s="123"/>
      <c r="CQ57" s="123"/>
      <c r="CR57" s="123"/>
      <c r="CS57" s="144"/>
      <c r="CT57" s="126"/>
      <c r="CU57" s="123"/>
      <c r="CV57" s="123"/>
      <c r="CW57" s="123"/>
      <c r="CX57" s="123"/>
      <c r="CY57" s="123"/>
      <c r="CZ57" s="123"/>
      <c r="DA57" s="123"/>
      <c r="DB57" s="126"/>
      <c r="DC57" s="123"/>
      <c r="DD57" s="123"/>
      <c r="DE57" s="123"/>
      <c r="DF57" s="123"/>
      <c r="DG57" s="123"/>
      <c r="DH57" s="123"/>
      <c r="DI57" s="124"/>
      <c r="DJ57" s="41"/>
      <c r="DK57" s="57"/>
      <c r="DL57" s="122"/>
      <c r="DM57" s="123"/>
      <c r="DN57" s="123"/>
      <c r="DO57" s="123"/>
      <c r="DP57" s="123"/>
      <c r="DQ57" s="123"/>
      <c r="DR57" s="144"/>
      <c r="DS57" s="126"/>
      <c r="DT57" s="123"/>
      <c r="DU57" s="123"/>
      <c r="DV57" s="123"/>
      <c r="DW57" s="144"/>
      <c r="DX57" s="123"/>
      <c r="DY57" s="123"/>
      <c r="DZ57" s="123"/>
      <c r="EA57" s="123"/>
      <c r="EB57" s="124"/>
    </row>
    <row r="58" spans="1:132" x14ac:dyDescent="0.15">
      <c r="A58" s="53">
        <v>57</v>
      </c>
      <c r="B58" s="23"/>
      <c r="C58" s="145"/>
      <c r="D58" s="146"/>
      <c r="E58" s="146"/>
      <c r="F58" s="157"/>
      <c r="G58" s="122"/>
      <c r="H58" s="123"/>
      <c r="I58" s="123"/>
      <c r="J58" s="123"/>
      <c r="K58" s="123"/>
      <c r="L58" s="123"/>
      <c r="M58" s="123"/>
      <c r="N58" s="144"/>
      <c r="O58" s="143"/>
      <c r="P58" s="123"/>
      <c r="Q58" s="123"/>
      <c r="R58" s="123"/>
      <c r="S58" s="123"/>
      <c r="T58" s="123"/>
      <c r="U58" s="123"/>
      <c r="V58" s="144"/>
      <c r="W58" s="126"/>
      <c r="X58" s="123"/>
      <c r="Y58" s="123"/>
      <c r="Z58" s="123"/>
      <c r="AA58" s="123"/>
      <c r="AB58" s="123"/>
      <c r="AC58" s="123"/>
      <c r="AD58" s="124"/>
      <c r="AE58" s="41"/>
      <c r="AF58" s="122"/>
      <c r="AG58" s="123"/>
      <c r="AH58" s="123"/>
      <c r="AI58" s="123"/>
      <c r="AJ58" s="123"/>
      <c r="AK58" s="123"/>
      <c r="AL58" s="123"/>
      <c r="AM58" s="144"/>
      <c r="AN58" s="143"/>
      <c r="AO58" s="123"/>
      <c r="AP58" s="123"/>
      <c r="AQ58" s="123"/>
      <c r="AR58" s="123"/>
      <c r="AS58" s="123"/>
      <c r="AT58" s="123"/>
      <c r="AU58" s="144"/>
      <c r="AV58" s="126"/>
      <c r="AW58" s="123"/>
      <c r="AX58" s="123"/>
      <c r="AY58" s="123"/>
      <c r="AZ58" s="123"/>
      <c r="BA58" s="123"/>
      <c r="BB58" s="123"/>
      <c r="BC58" s="124"/>
      <c r="BD58" s="41"/>
      <c r="BE58" s="122"/>
      <c r="BF58" s="123"/>
      <c r="BG58" s="123"/>
      <c r="BH58" s="123"/>
      <c r="BI58" s="123"/>
      <c r="BJ58" s="123"/>
      <c r="BK58" s="123"/>
      <c r="BL58" s="144"/>
      <c r="BM58" s="143"/>
      <c r="BN58" s="123"/>
      <c r="BO58" s="123"/>
      <c r="BP58" s="123"/>
      <c r="BQ58" s="123"/>
      <c r="BR58" s="123"/>
      <c r="BS58" s="123"/>
      <c r="BT58" s="144"/>
      <c r="BU58" s="126"/>
      <c r="BV58" s="123"/>
      <c r="BW58" s="123"/>
      <c r="BX58" s="123"/>
      <c r="BY58" s="123"/>
      <c r="BZ58" s="123"/>
      <c r="CA58" s="123"/>
      <c r="CB58" s="124"/>
      <c r="CC58" s="41"/>
      <c r="CD58" s="122"/>
      <c r="CE58" s="123"/>
      <c r="CF58" s="123"/>
      <c r="CG58" s="123"/>
      <c r="CH58" s="123"/>
      <c r="CI58" s="123"/>
      <c r="CJ58" s="123"/>
      <c r="CK58" s="144"/>
      <c r="CL58" s="126"/>
      <c r="CM58" s="123"/>
      <c r="CN58" s="123"/>
      <c r="CO58" s="123"/>
      <c r="CP58" s="123"/>
      <c r="CQ58" s="123"/>
      <c r="CR58" s="123"/>
      <c r="CS58" s="144"/>
      <c r="CT58" s="126"/>
      <c r="CU58" s="123"/>
      <c r="CV58" s="123"/>
      <c r="CW58" s="123"/>
      <c r="CX58" s="123"/>
      <c r="CY58" s="123"/>
      <c r="CZ58" s="123"/>
      <c r="DA58" s="123"/>
      <c r="DB58" s="126"/>
      <c r="DC58" s="123"/>
      <c r="DD58" s="123"/>
      <c r="DE58" s="123"/>
      <c r="DF58" s="123"/>
      <c r="DG58" s="123"/>
      <c r="DH58" s="123"/>
      <c r="DI58" s="124"/>
      <c r="DJ58" s="41"/>
      <c r="DK58" s="57"/>
      <c r="DL58" s="122"/>
      <c r="DM58" s="123"/>
      <c r="DN58" s="123"/>
      <c r="DO58" s="123"/>
      <c r="DP58" s="123"/>
      <c r="DQ58" s="123"/>
      <c r="DR58" s="144"/>
      <c r="DS58" s="126"/>
      <c r="DT58" s="123"/>
      <c r="DU58" s="123"/>
      <c r="DV58" s="123"/>
      <c r="DW58" s="144"/>
      <c r="DX58" s="123"/>
      <c r="DY58" s="123"/>
      <c r="DZ58" s="123"/>
      <c r="EA58" s="123"/>
      <c r="EB58" s="124"/>
    </row>
    <row r="59" spans="1:132" x14ac:dyDescent="0.15">
      <c r="A59" s="53">
        <v>58</v>
      </c>
      <c r="B59" s="23"/>
      <c r="C59" s="145"/>
      <c r="D59" s="146"/>
      <c r="E59" s="146"/>
      <c r="F59" s="157"/>
      <c r="G59" s="122"/>
      <c r="H59" s="123"/>
      <c r="I59" s="123"/>
      <c r="J59" s="123"/>
      <c r="K59" s="123"/>
      <c r="L59" s="123"/>
      <c r="M59" s="123"/>
      <c r="N59" s="144"/>
      <c r="O59" s="126"/>
      <c r="P59" s="123"/>
      <c r="Q59" s="123"/>
      <c r="R59" s="123"/>
      <c r="S59" s="123"/>
      <c r="T59" s="123"/>
      <c r="U59" s="123"/>
      <c r="V59" s="144"/>
      <c r="W59" s="126"/>
      <c r="X59" s="123"/>
      <c r="Y59" s="123"/>
      <c r="Z59" s="123"/>
      <c r="AA59" s="123"/>
      <c r="AB59" s="123"/>
      <c r="AC59" s="123"/>
      <c r="AD59" s="124"/>
      <c r="AE59" s="41"/>
      <c r="AF59" s="122"/>
      <c r="AG59" s="123"/>
      <c r="AH59" s="123"/>
      <c r="AI59" s="123"/>
      <c r="AJ59" s="123"/>
      <c r="AK59" s="123"/>
      <c r="AL59" s="123"/>
      <c r="AM59" s="144"/>
      <c r="AN59" s="126"/>
      <c r="AO59" s="123"/>
      <c r="AP59" s="123"/>
      <c r="AQ59" s="123"/>
      <c r="AR59" s="123"/>
      <c r="AS59" s="123"/>
      <c r="AT59" s="123"/>
      <c r="AU59" s="144"/>
      <c r="AV59" s="126"/>
      <c r="AW59" s="123"/>
      <c r="AX59" s="123"/>
      <c r="AY59" s="123"/>
      <c r="AZ59" s="123"/>
      <c r="BA59" s="123"/>
      <c r="BB59" s="123"/>
      <c r="BC59" s="124"/>
      <c r="BD59" s="41"/>
      <c r="BE59" s="122"/>
      <c r="BF59" s="123"/>
      <c r="BG59" s="123"/>
      <c r="BH59" s="123"/>
      <c r="BI59" s="123"/>
      <c r="BJ59" s="123"/>
      <c r="BK59" s="123"/>
      <c r="BL59" s="144"/>
      <c r="BM59" s="126"/>
      <c r="BN59" s="123"/>
      <c r="BO59" s="123"/>
      <c r="BP59" s="123"/>
      <c r="BQ59" s="123"/>
      <c r="BR59" s="123"/>
      <c r="BS59" s="123"/>
      <c r="BT59" s="144"/>
      <c r="BU59" s="126"/>
      <c r="BV59" s="123"/>
      <c r="BW59" s="123"/>
      <c r="BX59" s="123"/>
      <c r="BY59" s="123"/>
      <c r="BZ59" s="123"/>
      <c r="CA59" s="123"/>
      <c r="CB59" s="124"/>
      <c r="CC59" s="41"/>
      <c r="CD59" s="122"/>
      <c r="CE59" s="123"/>
      <c r="CF59" s="123"/>
      <c r="CG59" s="123"/>
      <c r="CH59" s="123"/>
      <c r="CI59" s="123"/>
      <c r="CJ59" s="123"/>
      <c r="CK59" s="144"/>
      <c r="CL59" s="126"/>
      <c r="CM59" s="123"/>
      <c r="CN59" s="123"/>
      <c r="CO59" s="123"/>
      <c r="CP59" s="123"/>
      <c r="CQ59" s="123"/>
      <c r="CR59" s="123"/>
      <c r="CS59" s="144"/>
      <c r="CT59" s="126"/>
      <c r="CU59" s="123"/>
      <c r="CV59" s="123"/>
      <c r="CW59" s="123"/>
      <c r="CX59" s="123"/>
      <c r="CY59" s="123"/>
      <c r="CZ59" s="123"/>
      <c r="DA59" s="123"/>
      <c r="DB59" s="126"/>
      <c r="DC59" s="123"/>
      <c r="DD59" s="123"/>
      <c r="DE59" s="123"/>
      <c r="DF59" s="123"/>
      <c r="DG59" s="123"/>
      <c r="DH59" s="123"/>
      <c r="DI59" s="124"/>
      <c r="DJ59" s="41"/>
      <c r="DK59" s="57"/>
      <c r="DL59" s="122"/>
      <c r="DM59" s="123"/>
      <c r="DN59" s="123"/>
      <c r="DO59" s="123"/>
      <c r="DP59" s="123"/>
      <c r="DQ59" s="123"/>
      <c r="DR59" s="144"/>
      <c r="DS59" s="126"/>
      <c r="DT59" s="123"/>
      <c r="DU59" s="123"/>
      <c r="DV59" s="123"/>
      <c r="DW59" s="144"/>
      <c r="DX59" s="123"/>
      <c r="DY59" s="123"/>
      <c r="DZ59" s="123"/>
      <c r="EA59" s="123"/>
      <c r="EB59" s="124"/>
    </row>
    <row r="60" spans="1:132" x14ac:dyDescent="0.15">
      <c r="A60" s="53">
        <v>59</v>
      </c>
      <c r="B60" s="24"/>
      <c r="C60" s="36"/>
      <c r="D60" s="37"/>
      <c r="E60" s="37"/>
      <c r="F60" s="38"/>
      <c r="G60" s="109"/>
      <c r="H60" s="110"/>
      <c r="I60" s="110"/>
      <c r="J60" s="110"/>
      <c r="K60" s="110"/>
      <c r="L60" s="110"/>
      <c r="M60" s="110"/>
      <c r="N60" s="128"/>
      <c r="O60" s="127"/>
      <c r="P60" s="110"/>
      <c r="Q60" s="110"/>
      <c r="R60" s="110"/>
      <c r="S60" s="110"/>
      <c r="T60" s="110"/>
      <c r="U60" s="110"/>
      <c r="V60" s="128"/>
      <c r="W60" s="127"/>
      <c r="X60" s="110"/>
      <c r="Y60" s="110"/>
      <c r="Z60" s="110"/>
      <c r="AA60" s="110"/>
      <c r="AB60" s="110"/>
      <c r="AC60" s="110"/>
      <c r="AD60" s="111"/>
      <c r="AE60" s="46"/>
      <c r="AF60" s="109"/>
      <c r="AG60" s="110"/>
      <c r="AH60" s="110"/>
      <c r="AI60" s="110"/>
      <c r="AJ60" s="110"/>
      <c r="AK60" s="110"/>
      <c r="AL60" s="110"/>
      <c r="AM60" s="128"/>
      <c r="AN60" s="127"/>
      <c r="AO60" s="110"/>
      <c r="AP60" s="110"/>
      <c r="AQ60" s="110"/>
      <c r="AR60" s="110"/>
      <c r="AS60" s="110"/>
      <c r="AT60" s="110"/>
      <c r="AU60" s="128"/>
      <c r="AV60" s="127"/>
      <c r="AW60" s="110"/>
      <c r="AX60" s="110"/>
      <c r="AY60" s="110"/>
      <c r="AZ60" s="110"/>
      <c r="BA60" s="110"/>
      <c r="BB60" s="110"/>
      <c r="BC60" s="111"/>
      <c r="BD60" s="46"/>
      <c r="BE60" s="109"/>
      <c r="BF60" s="110"/>
      <c r="BG60" s="110"/>
      <c r="BH60" s="110"/>
      <c r="BI60" s="110"/>
      <c r="BJ60" s="110"/>
      <c r="BK60" s="110"/>
      <c r="BL60" s="128"/>
      <c r="BM60" s="127"/>
      <c r="BN60" s="110"/>
      <c r="BO60" s="110"/>
      <c r="BP60" s="110"/>
      <c r="BQ60" s="110"/>
      <c r="BR60" s="110"/>
      <c r="BS60" s="110"/>
      <c r="BT60" s="128"/>
      <c r="BU60" s="127"/>
      <c r="BV60" s="110"/>
      <c r="BW60" s="110"/>
      <c r="BX60" s="110"/>
      <c r="BY60" s="110"/>
      <c r="BZ60" s="110"/>
      <c r="CA60" s="110"/>
      <c r="CB60" s="111"/>
      <c r="CC60" s="41"/>
      <c r="CD60" s="109"/>
      <c r="CE60" s="110"/>
      <c r="CF60" s="110"/>
      <c r="CG60" s="110"/>
      <c r="CH60" s="110"/>
      <c r="CI60" s="110"/>
      <c r="CJ60" s="110"/>
      <c r="CK60" s="128"/>
      <c r="CL60" s="139"/>
      <c r="CM60" s="110"/>
      <c r="CN60" s="110"/>
      <c r="CO60" s="110"/>
      <c r="CP60" s="110"/>
      <c r="CQ60" s="110"/>
      <c r="CR60" s="110"/>
      <c r="CS60" s="128"/>
      <c r="CT60" s="126"/>
      <c r="CU60" s="123"/>
      <c r="CV60" s="123"/>
      <c r="CW60" s="123"/>
      <c r="CX60" s="123"/>
      <c r="CY60" s="123"/>
      <c r="CZ60" s="123"/>
      <c r="DA60" s="123"/>
      <c r="DB60" s="127"/>
      <c r="DC60" s="110"/>
      <c r="DD60" s="110"/>
      <c r="DE60" s="110"/>
      <c r="DF60" s="110"/>
      <c r="DG60" s="110"/>
      <c r="DH60" s="110"/>
      <c r="DI60" s="111"/>
      <c r="DJ60" s="41"/>
      <c r="DK60" s="57"/>
      <c r="DL60" s="242"/>
      <c r="DM60" s="182"/>
      <c r="DN60" s="182"/>
      <c r="DO60" s="182"/>
      <c r="DP60" s="182"/>
      <c r="DQ60" s="182"/>
      <c r="DR60" s="183"/>
      <c r="DS60" s="243"/>
      <c r="DT60" s="182"/>
      <c r="DU60" s="182"/>
      <c r="DV60" s="182"/>
      <c r="DW60" s="183"/>
      <c r="DX60" s="155"/>
      <c r="DY60" s="155"/>
      <c r="DZ60" s="155"/>
      <c r="EA60" s="155"/>
      <c r="EB60" s="156"/>
    </row>
    <row r="61" spans="1:132" x14ac:dyDescent="0.15">
      <c r="A61" s="53">
        <v>60</v>
      </c>
      <c r="B61" s="129"/>
      <c r="C61" s="130"/>
      <c r="D61" s="130"/>
      <c r="E61" s="130"/>
      <c r="F61" s="130"/>
      <c r="G61" s="130"/>
      <c r="H61" s="130"/>
      <c r="I61" s="130"/>
      <c r="J61" s="130"/>
      <c r="K61" s="130"/>
      <c r="L61" s="130"/>
      <c r="M61" s="130"/>
      <c r="N61" s="130"/>
      <c r="O61" s="130"/>
      <c r="P61" s="130"/>
      <c r="Q61" s="130"/>
      <c r="R61" s="130"/>
      <c r="S61" s="130"/>
      <c r="T61" s="130"/>
      <c r="U61" s="130"/>
      <c r="V61" s="130"/>
      <c r="W61" s="130"/>
      <c r="X61" s="130"/>
      <c r="Y61" s="130"/>
      <c r="Z61" s="130"/>
      <c r="AA61" s="130"/>
      <c r="AB61" s="130"/>
      <c r="AC61" s="130"/>
      <c r="AD61" s="130"/>
      <c r="AE61" s="130"/>
      <c r="AF61" s="130"/>
      <c r="AG61" s="130"/>
      <c r="AH61" s="130"/>
      <c r="AI61" s="130"/>
      <c r="AJ61" s="130"/>
      <c r="AK61" s="130"/>
      <c r="AL61" s="130"/>
      <c r="AM61" s="130"/>
      <c r="AN61" s="130"/>
      <c r="AO61" s="130"/>
      <c r="AP61" s="130"/>
      <c r="AQ61" s="130"/>
      <c r="AR61" s="130"/>
      <c r="AS61" s="130"/>
      <c r="AT61" s="130"/>
      <c r="AU61" s="130"/>
      <c r="AV61" s="130"/>
      <c r="AW61" s="130"/>
      <c r="AX61" s="130"/>
      <c r="AY61" s="130"/>
      <c r="AZ61" s="130"/>
      <c r="BA61" s="130"/>
      <c r="BB61" s="130"/>
      <c r="BC61" s="130"/>
      <c r="BD61" s="130"/>
      <c r="BE61" s="130"/>
      <c r="BF61" s="130"/>
      <c r="BG61" s="130"/>
      <c r="BH61" s="130"/>
      <c r="BI61" s="130"/>
      <c r="BJ61" s="130"/>
      <c r="BK61" s="130"/>
      <c r="BL61" s="130"/>
      <c r="BM61" s="130"/>
      <c r="BN61" s="130"/>
      <c r="BO61" s="130"/>
      <c r="BP61" s="130"/>
      <c r="BQ61" s="130"/>
      <c r="BR61" s="130"/>
      <c r="BS61" s="130"/>
      <c r="BT61" s="131"/>
      <c r="BU61" s="51" t="s">
        <v>4</v>
      </c>
      <c r="BV61" s="25"/>
      <c r="BW61" s="26"/>
      <c r="BX61" s="27"/>
      <c r="BY61" s="25"/>
      <c r="BZ61" s="25"/>
      <c r="CA61" s="25"/>
      <c r="CB61" s="25"/>
      <c r="CC61" s="25"/>
      <c r="CD61" s="25"/>
      <c r="CE61" s="25" t="s">
        <v>5</v>
      </c>
      <c r="CF61" s="25"/>
      <c r="CG61" s="25"/>
      <c r="CH61" s="25"/>
      <c r="CI61" s="25"/>
      <c r="CJ61" s="25"/>
      <c r="CK61" s="25"/>
      <c r="CL61" s="25"/>
      <c r="CM61" s="25"/>
      <c r="CN61" s="25"/>
      <c r="CO61" s="25"/>
      <c r="CP61" s="25"/>
      <c r="CQ61" s="25"/>
      <c r="CR61" s="26"/>
      <c r="CS61" s="27"/>
      <c r="CT61" s="25"/>
      <c r="CU61" s="28" t="s">
        <v>6</v>
      </c>
      <c r="CV61" s="29"/>
      <c r="CW61" s="30"/>
      <c r="CX61" s="27"/>
      <c r="CY61" s="25"/>
      <c r="CZ61" s="25" t="s">
        <v>7</v>
      </c>
      <c r="DA61" s="25"/>
      <c r="DB61" s="26"/>
      <c r="DC61" s="27"/>
      <c r="DD61" s="25" t="s">
        <v>8</v>
      </c>
      <c r="DE61" s="25"/>
      <c r="DF61" s="25"/>
      <c r="DG61" s="26"/>
      <c r="DH61" s="27" t="s">
        <v>9</v>
      </c>
      <c r="DI61" s="25"/>
      <c r="DJ61" s="25"/>
      <c r="DK61" s="25"/>
      <c r="DL61" s="26"/>
      <c r="DM61" s="31" t="s">
        <v>10</v>
      </c>
      <c r="DN61" s="31"/>
      <c r="DO61" s="31"/>
      <c r="DP61" s="32"/>
      <c r="DQ61" s="31"/>
      <c r="DR61" s="32"/>
      <c r="DS61" s="31"/>
      <c r="DT61" s="32"/>
      <c r="DU61" s="32"/>
      <c r="DV61" s="32"/>
      <c r="DW61" s="32"/>
      <c r="DX61" s="56"/>
      <c r="DY61" s="56"/>
      <c r="DZ61" s="56"/>
      <c r="EA61" s="59"/>
      <c r="EB61" s="60"/>
    </row>
    <row r="62" spans="1:132" x14ac:dyDescent="0.15">
      <c r="A62" s="52">
        <v>61</v>
      </c>
      <c r="B62" s="132"/>
      <c r="C62" s="133"/>
      <c r="D62" s="133"/>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c r="BM62" s="133"/>
      <c r="BN62" s="133"/>
      <c r="BO62" s="133"/>
      <c r="BP62" s="133"/>
      <c r="BQ62" s="133"/>
      <c r="BR62" s="133"/>
      <c r="BS62" s="133"/>
      <c r="BT62" s="134"/>
      <c r="BU62" s="8"/>
      <c r="BV62" s="9"/>
      <c r="BW62" s="10"/>
      <c r="BX62" s="34"/>
      <c r="BY62" s="9"/>
      <c r="BZ62" s="9"/>
      <c r="CA62" s="9"/>
      <c r="CB62" s="9"/>
      <c r="CC62" s="9"/>
      <c r="CD62" s="9"/>
      <c r="CE62" s="9"/>
      <c r="CF62" s="9"/>
      <c r="CG62" s="9"/>
      <c r="CH62" s="9"/>
      <c r="CI62" s="9"/>
      <c r="CJ62" s="9"/>
      <c r="CK62" s="9"/>
      <c r="CL62" s="9"/>
      <c r="CM62" s="9"/>
      <c r="CN62" s="9"/>
      <c r="CO62" s="9"/>
      <c r="CP62" s="9"/>
      <c r="CQ62" s="9"/>
      <c r="CR62" s="10"/>
      <c r="CS62" s="34"/>
      <c r="CT62" s="9"/>
      <c r="CU62" s="9"/>
      <c r="CV62" s="9"/>
      <c r="CW62" s="10"/>
      <c r="CX62" s="34"/>
      <c r="CY62" s="9"/>
      <c r="CZ62" s="9"/>
      <c r="DA62" s="9"/>
      <c r="DB62" s="10"/>
      <c r="DC62" s="34"/>
      <c r="DD62" s="9"/>
      <c r="DE62" s="9"/>
      <c r="DF62" s="9"/>
      <c r="DG62" s="10"/>
      <c r="DH62" s="34"/>
      <c r="DI62" s="9"/>
      <c r="DJ62" s="9"/>
      <c r="DK62" s="9"/>
      <c r="DL62" s="10"/>
      <c r="DM62" s="11"/>
      <c r="DN62" s="11"/>
      <c r="DO62" s="11"/>
      <c r="DP62" s="11"/>
      <c r="DQ62" s="11"/>
      <c r="DR62" s="11"/>
      <c r="DS62" s="11"/>
      <c r="DT62" s="11"/>
      <c r="DU62" s="11"/>
      <c r="DV62" s="11"/>
      <c r="DW62" s="11"/>
      <c r="DX62" s="11"/>
      <c r="DY62" s="11"/>
      <c r="DZ62" s="11"/>
      <c r="EA62" s="11"/>
      <c r="EB62" s="22"/>
    </row>
    <row r="63" spans="1:132" x14ac:dyDescent="0.15">
      <c r="A63" s="53">
        <v>62</v>
      </c>
      <c r="B63" s="132"/>
      <c r="C63" s="133"/>
      <c r="D63" s="133"/>
      <c r="E63" s="133"/>
      <c r="F63" s="133"/>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T63" s="133"/>
      <c r="AU63" s="133"/>
      <c r="AV63" s="133"/>
      <c r="AW63" s="133"/>
      <c r="AX63" s="133"/>
      <c r="AY63" s="133"/>
      <c r="AZ63" s="133"/>
      <c r="BA63" s="133"/>
      <c r="BB63" s="133"/>
      <c r="BC63" s="133"/>
      <c r="BD63" s="133"/>
      <c r="BE63" s="133"/>
      <c r="BF63" s="133"/>
      <c r="BG63" s="133"/>
      <c r="BH63" s="133"/>
      <c r="BI63" s="133"/>
      <c r="BJ63" s="133"/>
      <c r="BK63" s="133"/>
      <c r="BL63" s="133"/>
      <c r="BM63" s="133"/>
      <c r="BN63" s="133"/>
      <c r="BO63" s="133"/>
      <c r="BP63" s="133"/>
      <c r="BQ63" s="133"/>
      <c r="BR63" s="133"/>
      <c r="BS63" s="133"/>
      <c r="BT63" s="134"/>
      <c r="BU63" s="8"/>
      <c r="BV63" s="9"/>
      <c r="BW63" s="10"/>
      <c r="BX63" s="34"/>
      <c r="BY63" s="9"/>
      <c r="BZ63" s="9"/>
      <c r="CA63" s="9"/>
      <c r="CB63" s="9"/>
      <c r="CC63" s="9"/>
      <c r="CD63" s="9"/>
      <c r="CE63" s="9"/>
      <c r="CF63" s="9"/>
      <c r="CG63" s="9"/>
      <c r="CH63" s="9"/>
      <c r="CI63" s="9"/>
      <c r="CJ63" s="9"/>
      <c r="CK63" s="9"/>
      <c r="CL63" s="9"/>
      <c r="CM63" s="9"/>
      <c r="CN63" s="9"/>
      <c r="CO63" s="9"/>
      <c r="CP63" s="9"/>
      <c r="CQ63" s="9"/>
      <c r="CR63" s="10"/>
      <c r="CS63" s="34"/>
      <c r="CT63" s="9"/>
      <c r="CU63" s="9"/>
      <c r="CV63" s="9"/>
      <c r="CW63" s="10"/>
      <c r="CX63" s="34"/>
      <c r="CY63" s="9"/>
      <c r="CZ63" s="9"/>
      <c r="DA63" s="9"/>
      <c r="DB63" s="10"/>
      <c r="DC63" s="34"/>
      <c r="DD63" s="9"/>
      <c r="DE63" s="9"/>
      <c r="DF63" s="9"/>
      <c r="DG63" s="10"/>
      <c r="DH63" s="34"/>
      <c r="DI63" s="9"/>
      <c r="DJ63" s="9"/>
      <c r="DK63" s="9"/>
      <c r="DL63" s="10"/>
      <c r="DM63" s="11"/>
      <c r="DN63" s="138">
        <f>DN5</f>
        <v>0</v>
      </c>
      <c r="DO63" s="138"/>
      <c r="DP63" s="138"/>
      <c r="DQ63" s="138"/>
      <c r="DR63" s="138"/>
      <c r="DS63" s="138"/>
      <c r="DT63" s="138"/>
      <c r="DU63" s="138"/>
      <c r="DV63" s="138"/>
      <c r="DW63" s="138"/>
      <c r="DX63" s="138"/>
      <c r="DY63" s="138"/>
      <c r="DZ63" s="138"/>
      <c r="EA63" s="138"/>
      <c r="EB63" s="22"/>
    </row>
    <row r="64" spans="1:132" x14ac:dyDescent="0.15">
      <c r="A64" s="53">
        <v>63</v>
      </c>
      <c r="B64" s="132"/>
      <c r="C64" s="133"/>
      <c r="D64" s="133"/>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c r="BM64" s="133"/>
      <c r="BN64" s="133"/>
      <c r="BO64" s="133"/>
      <c r="BP64" s="133"/>
      <c r="BQ64" s="133"/>
      <c r="BR64" s="133"/>
      <c r="BS64" s="133"/>
      <c r="BT64" s="134"/>
      <c r="BU64" s="8"/>
      <c r="BV64" s="9"/>
      <c r="BW64" s="10"/>
      <c r="BX64" s="34"/>
      <c r="BY64" s="9"/>
      <c r="BZ64" s="9"/>
      <c r="CA64" s="9"/>
      <c r="CB64" s="9"/>
      <c r="CC64" s="9"/>
      <c r="CD64" s="9"/>
      <c r="CE64" s="9"/>
      <c r="CF64" s="9"/>
      <c r="CG64" s="9"/>
      <c r="CH64" s="9"/>
      <c r="CI64" s="9"/>
      <c r="CJ64" s="9"/>
      <c r="CK64" s="9"/>
      <c r="CL64" s="9"/>
      <c r="CM64" s="9"/>
      <c r="CN64" s="9"/>
      <c r="CO64" s="9"/>
      <c r="CP64" s="9"/>
      <c r="CQ64" s="9"/>
      <c r="CR64" s="10"/>
      <c r="CS64" s="34"/>
      <c r="CT64" s="9"/>
      <c r="CU64" s="9"/>
      <c r="CV64" s="9"/>
      <c r="CW64" s="10"/>
      <c r="CX64" s="34"/>
      <c r="CY64" s="9"/>
      <c r="CZ64" s="9"/>
      <c r="DA64" s="9"/>
      <c r="DB64" s="10"/>
      <c r="DC64" s="34"/>
      <c r="DD64" s="9"/>
      <c r="DE64" s="9"/>
      <c r="DF64" s="9"/>
      <c r="DG64" s="10"/>
      <c r="DH64" s="34"/>
      <c r="DI64" s="9"/>
      <c r="DJ64" s="9"/>
      <c r="DK64" s="9"/>
      <c r="DL64" s="10"/>
      <c r="DM64" s="9"/>
      <c r="DN64" s="9"/>
      <c r="DO64" s="9"/>
      <c r="DP64" s="9"/>
      <c r="DQ64" s="9"/>
      <c r="DR64" s="9"/>
      <c r="DS64" s="9"/>
      <c r="DT64" s="9"/>
      <c r="DU64" s="9"/>
      <c r="DV64" s="9"/>
      <c r="DW64" s="9"/>
      <c r="DX64" s="9"/>
      <c r="DY64" s="9"/>
      <c r="DZ64" s="9"/>
      <c r="EA64" s="9"/>
      <c r="EB64" s="15"/>
    </row>
    <row r="65" spans="1:132" x14ac:dyDescent="0.15">
      <c r="A65" s="53">
        <v>64</v>
      </c>
      <c r="B65" s="135"/>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136"/>
      <c r="BG65" s="136"/>
      <c r="BH65" s="136"/>
      <c r="BI65" s="136"/>
      <c r="BJ65" s="136"/>
      <c r="BK65" s="136"/>
      <c r="BL65" s="136"/>
      <c r="BM65" s="136"/>
      <c r="BN65" s="136"/>
      <c r="BO65" s="136"/>
      <c r="BP65" s="136"/>
      <c r="BQ65" s="136"/>
      <c r="BR65" s="136"/>
      <c r="BS65" s="136"/>
      <c r="BT65" s="137"/>
      <c r="BU65" s="16"/>
      <c r="BV65" s="17"/>
      <c r="BW65" s="18"/>
      <c r="BX65" s="35"/>
      <c r="BY65" s="17"/>
      <c r="BZ65" s="17"/>
      <c r="CA65" s="17"/>
      <c r="CB65" s="17"/>
      <c r="CC65" s="17"/>
      <c r="CD65" s="17"/>
      <c r="CE65" s="17"/>
      <c r="CF65" s="17"/>
      <c r="CG65" s="17"/>
      <c r="CH65" s="17"/>
      <c r="CI65" s="17"/>
      <c r="CJ65" s="17"/>
      <c r="CK65" s="17"/>
      <c r="CL65" s="17"/>
      <c r="CM65" s="17"/>
      <c r="CN65" s="17"/>
      <c r="CO65" s="17"/>
      <c r="CP65" s="17"/>
      <c r="CQ65" s="17"/>
      <c r="CR65" s="18"/>
      <c r="CS65" s="35"/>
      <c r="CT65" s="17"/>
      <c r="CU65" s="17"/>
      <c r="CV65" s="17"/>
      <c r="CW65" s="18"/>
      <c r="CX65" s="35"/>
      <c r="CY65" s="17"/>
      <c r="CZ65" s="17"/>
      <c r="DA65" s="17"/>
      <c r="DB65" s="18"/>
      <c r="DC65" s="35"/>
      <c r="DD65" s="17"/>
      <c r="DE65" s="17"/>
      <c r="DF65" s="17"/>
      <c r="DG65" s="18"/>
      <c r="DH65" s="35"/>
      <c r="DI65" s="17"/>
      <c r="DJ65" s="17"/>
      <c r="DK65" s="17"/>
      <c r="DL65" s="18"/>
      <c r="DM65" s="127" t="s">
        <v>17</v>
      </c>
      <c r="DN65" s="110"/>
      <c r="DO65" s="110"/>
      <c r="DP65" s="110"/>
      <c r="DQ65" s="110">
        <v>2</v>
      </c>
      <c r="DR65" s="110"/>
      <c r="DS65" s="110"/>
      <c r="DT65" s="110" t="s">
        <v>11</v>
      </c>
      <c r="DU65" s="110"/>
      <c r="DV65" s="110"/>
      <c r="DW65" s="110"/>
      <c r="DX65" s="110"/>
      <c r="DY65" s="110"/>
      <c r="DZ65" s="110"/>
      <c r="EA65" s="110"/>
      <c r="EB65" s="20"/>
    </row>
  </sheetData>
  <scenarios current="0" show="0">
    <scenario name="10% solids" locked="1" count="1" user="jack housego-woolgar" comment="Created by jack housego-woolgar on 19/10/2023_x000a_Modified by jack housego-woolgar on 19/10/2023">
      <inputCells r="AX25" val="0.15"/>
    </scenario>
  </scenarios>
  <mergeCells count="1113">
    <mergeCell ref="DO5:EB5"/>
    <mergeCell ref="BT6:BX6"/>
    <mergeCell ref="BY6:CM6"/>
    <mergeCell ref="DO6:EB6"/>
    <mergeCell ref="DO7:EB7"/>
    <mergeCell ref="C8:F8"/>
    <mergeCell ref="G8:N8"/>
    <mergeCell ref="O8:X8"/>
    <mergeCell ref="Y8:AH8"/>
    <mergeCell ref="AI8:AR8"/>
    <mergeCell ref="B2:BS7"/>
    <mergeCell ref="BT2:BX2"/>
    <mergeCell ref="BY2:CM2"/>
    <mergeCell ref="DF2:EA4"/>
    <mergeCell ref="BT3:BX3"/>
    <mergeCell ref="BY3:CM3"/>
    <mergeCell ref="BT4:BX4"/>
    <mergeCell ref="BY4:CM4"/>
    <mergeCell ref="BT5:BX5"/>
    <mergeCell ref="BY5:CM5"/>
    <mergeCell ref="T10:X10"/>
    <mergeCell ref="Y10:AC10"/>
    <mergeCell ref="BW9:CF9"/>
    <mergeCell ref="CG9:CP9"/>
    <mergeCell ref="CQ9:CZ9"/>
    <mergeCell ref="DA9:DJ9"/>
    <mergeCell ref="DL9:DW9"/>
    <mergeCell ref="DX9:EB9"/>
    <mergeCell ref="DA8:DJ8"/>
    <mergeCell ref="DL8:EB8"/>
    <mergeCell ref="C9:F9"/>
    <mergeCell ref="G9:N9"/>
    <mergeCell ref="O9:X9"/>
    <mergeCell ref="Y9:AH9"/>
    <mergeCell ref="AI9:AR9"/>
    <mergeCell ref="AS9:BB9"/>
    <mergeCell ref="BC9:BL9"/>
    <mergeCell ref="BM9:BV9"/>
    <mergeCell ref="AS8:BB8"/>
    <mergeCell ref="BC8:BL8"/>
    <mergeCell ref="BM8:BV8"/>
    <mergeCell ref="BW8:CF8"/>
    <mergeCell ref="CG8:CP8"/>
    <mergeCell ref="CQ8:CZ8"/>
    <mergeCell ref="DS10:DW10"/>
    <mergeCell ref="DX10:EB10"/>
    <mergeCell ref="DS12:DW12"/>
    <mergeCell ref="DX12:EB12"/>
    <mergeCell ref="C11:F11"/>
    <mergeCell ref="G11:K11"/>
    <mergeCell ref="L11:N11"/>
    <mergeCell ref="O11:S11"/>
    <mergeCell ref="T11:X11"/>
    <mergeCell ref="Y11:AC11"/>
    <mergeCell ref="AD11:AH11"/>
    <mergeCell ref="AI11:AM11"/>
    <mergeCell ref="CL10:CP10"/>
    <mergeCell ref="CQ10:CU10"/>
    <mergeCell ref="CV10:CZ10"/>
    <mergeCell ref="DA10:DE10"/>
    <mergeCell ref="DF10:DJ10"/>
    <mergeCell ref="DL10:DR10"/>
    <mergeCell ref="BH10:BL10"/>
    <mergeCell ref="BM10:BQ10"/>
    <mergeCell ref="BR10:BV10"/>
    <mergeCell ref="BW10:CA10"/>
    <mergeCell ref="CB10:CF10"/>
    <mergeCell ref="CG10:CK10"/>
    <mergeCell ref="AD10:AH10"/>
    <mergeCell ref="AI10:AM10"/>
    <mergeCell ref="AN10:AR10"/>
    <mergeCell ref="AS10:AW10"/>
    <mergeCell ref="AX10:BB10"/>
    <mergeCell ref="BC10:BG10"/>
    <mergeCell ref="C10:F10"/>
    <mergeCell ref="G10:K10"/>
    <mergeCell ref="L10:N10"/>
    <mergeCell ref="O10:S10"/>
    <mergeCell ref="CV11:CZ11"/>
    <mergeCell ref="DA11:DE11"/>
    <mergeCell ref="DF11:DJ11"/>
    <mergeCell ref="DL11:DR11"/>
    <mergeCell ref="DS11:DW11"/>
    <mergeCell ref="DX11:EB11"/>
    <mergeCell ref="BR11:BV11"/>
    <mergeCell ref="BW11:CA11"/>
    <mergeCell ref="CB11:CF11"/>
    <mergeCell ref="CG11:CK11"/>
    <mergeCell ref="CL11:CP11"/>
    <mergeCell ref="CQ11:CU11"/>
    <mergeCell ref="AN11:AR11"/>
    <mergeCell ref="AS11:AW11"/>
    <mergeCell ref="AX11:BB11"/>
    <mergeCell ref="BC11:BG11"/>
    <mergeCell ref="BH11:BL11"/>
    <mergeCell ref="BM11:BQ11"/>
    <mergeCell ref="C13:F13"/>
    <mergeCell ref="G13:K13"/>
    <mergeCell ref="L13:N13"/>
    <mergeCell ref="O13:S13"/>
    <mergeCell ref="T13:X13"/>
    <mergeCell ref="AD13:AH13"/>
    <mergeCell ref="AI13:AM13"/>
    <mergeCell ref="CL12:CP12"/>
    <mergeCell ref="CQ12:CU12"/>
    <mergeCell ref="CV12:CZ12"/>
    <mergeCell ref="DA12:DE12"/>
    <mergeCell ref="DF12:DJ12"/>
    <mergeCell ref="DL12:DR12"/>
    <mergeCell ref="BH12:BL12"/>
    <mergeCell ref="BM12:BQ12"/>
    <mergeCell ref="BR12:BV12"/>
    <mergeCell ref="BW12:CA12"/>
    <mergeCell ref="CB12:CF12"/>
    <mergeCell ref="CG12:CK12"/>
    <mergeCell ref="AD12:AH12"/>
    <mergeCell ref="AI12:AM12"/>
    <mergeCell ref="AN12:AR12"/>
    <mergeCell ref="AS12:AW12"/>
    <mergeCell ref="AX12:BB12"/>
    <mergeCell ref="BC12:BG12"/>
    <mergeCell ref="C12:F12"/>
    <mergeCell ref="G12:K12"/>
    <mergeCell ref="L12:N12"/>
    <mergeCell ref="O12:S12"/>
    <mergeCell ref="T12:X12"/>
    <mergeCell ref="Y12:AC12"/>
    <mergeCell ref="T14:X14"/>
    <mergeCell ref="Y14:AC14"/>
    <mergeCell ref="CV13:CZ13"/>
    <mergeCell ref="DA13:DE13"/>
    <mergeCell ref="DF13:DJ13"/>
    <mergeCell ref="DL13:DR13"/>
    <mergeCell ref="DS13:DW13"/>
    <mergeCell ref="DX13:EB13"/>
    <mergeCell ref="BR13:BV13"/>
    <mergeCell ref="BW13:CA13"/>
    <mergeCell ref="CB13:CF13"/>
    <mergeCell ref="CG13:CK13"/>
    <mergeCell ref="CL13:CP13"/>
    <mergeCell ref="CQ13:CU13"/>
    <mergeCell ref="AN13:AR13"/>
    <mergeCell ref="AS13:AW13"/>
    <mergeCell ref="AX13:BB13"/>
    <mergeCell ref="BC13:BG13"/>
    <mergeCell ref="BH13:BL13"/>
    <mergeCell ref="BM13:BQ13"/>
    <mergeCell ref="DS14:DW14"/>
    <mergeCell ref="DX14:EB14"/>
    <mergeCell ref="DS16:DW16"/>
    <mergeCell ref="DX16:EB16"/>
    <mergeCell ref="C15:F15"/>
    <mergeCell ref="G15:K15"/>
    <mergeCell ref="L15:N15"/>
    <mergeCell ref="O15:S15"/>
    <mergeCell ref="T15:X15"/>
    <mergeCell ref="Y15:AC15"/>
    <mergeCell ref="AD15:AH15"/>
    <mergeCell ref="AI15:AM15"/>
    <mergeCell ref="CL14:CP14"/>
    <mergeCell ref="CQ14:CU14"/>
    <mergeCell ref="CV14:CZ14"/>
    <mergeCell ref="DA14:DE14"/>
    <mergeCell ref="DF14:DJ14"/>
    <mergeCell ref="DL14:DR14"/>
    <mergeCell ref="BH14:BL14"/>
    <mergeCell ref="BM14:BQ14"/>
    <mergeCell ref="BR14:BV14"/>
    <mergeCell ref="BW14:CA14"/>
    <mergeCell ref="CB14:CF14"/>
    <mergeCell ref="CG14:CK14"/>
    <mergeCell ref="AD14:AH14"/>
    <mergeCell ref="AI14:AM14"/>
    <mergeCell ref="AN14:AR14"/>
    <mergeCell ref="AS14:AW14"/>
    <mergeCell ref="AX14:BB14"/>
    <mergeCell ref="BC14:BG14"/>
    <mergeCell ref="C14:F14"/>
    <mergeCell ref="G14:K14"/>
    <mergeCell ref="L14:N14"/>
    <mergeCell ref="O14:S14"/>
    <mergeCell ref="CV15:CZ15"/>
    <mergeCell ref="DA15:DE15"/>
    <mergeCell ref="DF15:DJ15"/>
    <mergeCell ref="DL15:DR15"/>
    <mergeCell ref="DS15:DW15"/>
    <mergeCell ref="DX15:EB15"/>
    <mergeCell ref="BR15:BV15"/>
    <mergeCell ref="BW15:CA15"/>
    <mergeCell ref="CB15:CF15"/>
    <mergeCell ref="CG15:CK15"/>
    <mergeCell ref="CL15:CP15"/>
    <mergeCell ref="CQ15:CU15"/>
    <mergeCell ref="AN15:AR15"/>
    <mergeCell ref="AS15:AW15"/>
    <mergeCell ref="AX15:BB15"/>
    <mergeCell ref="BC15:BG15"/>
    <mergeCell ref="BH15:BL15"/>
    <mergeCell ref="BM15:BQ15"/>
    <mergeCell ref="C17:F17"/>
    <mergeCell ref="G17:K17"/>
    <mergeCell ref="L17:N17"/>
    <mergeCell ref="O17:S17"/>
    <mergeCell ref="T17:X17"/>
    <mergeCell ref="Y17:AC17"/>
    <mergeCell ref="AD17:AH17"/>
    <mergeCell ref="AI17:AM17"/>
    <mergeCell ref="CL16:CP16"/>
    <mergeCell ref="CQ16:CU16"/>
    <mergeCell ref="CV16:CZ16"/>
    <mergeCell ref="DA16:DE16"/>
    <mergeCell ref="DF16:DJ16"/>
    <mergeCell ref="DL16:DR16"/>
    <mergeCell ref="BH16:BL16"/>
    <mergeCell ref="BM16:BQ16"/>
    <mergeCell ref="BR16:BV16"/>
    <mergeCell ref="BW16:CA16"/>
    <mergeCell ref="CB16:CF16"/>
    <mergeCell ref="CG16:CK16"/>
    <mergeCell ref="AD16:AH16"/>
    <mergeCell ref="AI16:AM16"/>
    <mergeCell ref="AN16:AR16"/>
    <mergeCell ref="AS16:AW16"/>
    <mergeCell ref="AX16:BB16"/>
    <mergeCell ref="BC16:BG16"/>
    <mergeCell ref="C16:F16"/>
    <mergeCell ref="G16:K16"/>
    <mergeCell ref="L16:N16"/>
    <mergeCell ref="O16:S16"/>
    <mergeCell ref="T16:X16"/>
    <mergeCell ref="Y16:AC16"/>
    <mergeCell ref="G18:K18"/>
    <mergeCell ref="L18:N18"/>
    <mergeCell ref="O18:S18"/>
    <mergeCell ref="T18:X18"/>
    <mergeCell ref="DF19:DJ19"/>
    <mergeCell ref="Y18:AC18"/>
    <mergeCell ref="AD18:AH18"/>
    <mergeCell ref="CV17:CZ17"/>
    <mergeCell ref="DA17:DE17"/>
    <mergeCell ref="DF17:DJ17"/>
    <mergeCell ref="DL17:DR17"/>
    <mergeCell ref="DS17:DW17"/>
    <mergeCell ref="DX17:EB17"/>
    <mergeCell ref="BR17:BV17"/>
    <mergeCell ref="BW17:CA17"/>
    <mergeCell ref="CB17:CF17"/>
    <mergeCell ref="CG17:CK17"/>
    <mergeCell ref="CL17:CP17"/>
    <mergeCell ref="CQ17:CU17"/>
    <mergeCell ref="AN17:AR17"/>
    <mergeCell ref="AS17:AW17"/>
    <mergeCell ref="AX17:BB17"/>
    <mergeCell ref="BC17:BG17"/>
    <mergeCell ref="BH17:BL17"/>
    <mergeCell ref="BM17:BQ17"/>
    <mergeCell ref="DX18:EB18"/>
    <mergeCell ref="CQ18:CU18"/>
    <mergeCell ref="CV18:CZ18"/>
    <mergeCell ref="DA18:DE18"/>
    <mergeCell ref="DF18:DJ18"/>
    <mergeCell ref="DL18:DR18"/>
    <mergeCell ref="DS18:DW18"/>
    <mergeCell ref="BM18:BQ18"/>
    <mergeCell ref="BR18:BV18"/>
    <mergeCell ref="BW18:CA18"/>
    <mergeCell ref="CB18:CF18"/>
    <mergeCell ref="CG18:CK18"/>
    <mergeCell ref="CL18:CP18"/>
    <mergeCell ref="AI18:AM18"/>
    <mergeCell ref="AN18:AR18"/>
    <mergeCell ref="AS18:AW18"/>
    <mergeCell ref="AX18:BB18"/>
    <mergeCell ref="BC18:BG18"/>
    <mergeCell ref="BH18:BL18"/>
    <mergeCell ref="DL19:DR19"/>
    <mergeCell ref="DS19:DW19"/>
    <mergeCell ref="DX19:EB19"/>
    <mergeCell ref="G20:K20"/>
    <mergeCell ref="L20:N20"/>
    <mergeCell ref="O20:S20"/>
    <mergeCell ref="T20:X20"/>
    <mergeCell ref="Y20:AC20"/>
    <mergeCell ref="AD20:AH20"/>
    <mergeCell ref="CB19:CF19"/>
    <mergeCell ref="CG19:CK19"/>
    <mergeCell ref="CL19:CP19"/>
    <mergeCell ref="CQ19:CU19"/>
    <mergeCell ref="CV19:CZ19"/>
    <mergeCell ref="DA19:DE19"/>
    <mergeCell ref="AX19:BB19"/>
    <mergeCell ref="BC19:BG19"/>
    <mergeCell ref="BH19:BL19"/>
    <mergeCell ref="BM19:BQ19"/>
    <mergeCell ref="BR19:BV19"/>
    <mergeCell ref="BW19:CA19"/>
    <mergeCell ref="G19:K19"/>
    <mergeCell ref="L19:N19"/>
    <mergeCell ref="O19:S19"/>
    <mergeCell ref="T19:X19"/>
    <mergeCell ref="Y19:AC19"/>
    <mergeCell ref="AD19:AH19"/>
    <mergeCell ref="AI19:AM19"/>
    <mergeCell ref="AN19:AR19"/>
    <mergeCell ref="AS19:AW19"/>
    <mergeCell ref="G21:K21"/>
    <mergeCell ref="L21:N21"/>
    <mergeCell ref="O21:S21"/>
    <mergeCell ref="T21:X21"/>
    <mergeCell ref="DF22:DJ22"/>
    <mergeCell ref="Y21:AC21"/>
    <mergeCell ref="AD21:AH21"/>
    <mergeCell ref="CQ20:CU20"/>
    <mergeCell ref="CV20:CZ20"/>
    <mergeCell ref="DA20:DE20"/>
    <mergeCell ref="DF20:DJ20"/>
    <mergeCell ref="BH21:BL21"/>
    <mergeCell ref="DL20:DW20"/>
    <mergeCell ref="DX20:EB20"/>
    <mergeCell ref="BM20:BQ20"/>
    <mergeCell ref="BR20:BV20"/>
    <mergeCell ref="BW20:CA20"/>
    <mergeCell ref="CB20:CF20"/>
    <mergeCell ref="CG20:CK20"/>
    <mergeCell ref="CL20:CP20"/>
    <mergeCell ref="AI20:AM20"/>
    <mergeCell ref="AN20:AR20"/>
    <mergeCell ref="AS20:AW20"/>
    <mergeCell ref="AX20:BB20"/>
    <mergeCell ref="BC20:BG20"/>
    <mergeCell ref="BH20:BL20"/>
    <mergeCell ref="DX21:EB21"/>
    <mergeCell ref="CQ21:CU21"/>
    <mergeCell ref="CV21:CZ21"/>
    <mergeCell ref="DA21:DE21"/>
    <mergeCell ref="DF21:DJ21"/>
    <mergeCell ref="DL21:DR21"/>
    <mergeCell ref="DS21:DW21"/>
    <mergeCell ref="BM21:BQ21"/>
    <mergeCell ref="BR21:BV21"/>
    <mergeCell ref="BW21:CA21"/>
    <mergeCell ref="CB21:CF21"/>
    <mergeCell ref="CG21:CK21"/>
    <mergeCell ref="CL21:CP21"/>
    <mergeCell ref="AI21:AM21"/>
    <mergeCell ref="AN21:AR21"/>
    <mergeCell ref="AS21:AW21"/>
    <mergeCell ref="AX21:BB21"/>
    <mergeCell ref="BC21:BG21"/>
    <mergeCell ref="DL22:DR22"/>
    <mergeCell ref="DS22:DW22"/>
    <mergeCell ref="DX22:EB22"/>
    <mergeCell ref="G23:K23"/>
    <mergeCell ref="L23:N23"/>
    <mergeCell ref="O23:S23"/>
    <mergeCell ref="T23:X23"/>
    <mergeCell ref="Y23:AC23"/>
    <mergeCell ref="AD23:AH23"/>
    <mergeCell ref="CB22:CF22"/>
    <mergeCell ref="CG22:CK22"/>
    <mergeCell ref="CL22:CP22"/>
    <mergeCell ref="CQ22:CU22"/>
    <mergeCell ref="CV22:CZ22"/>
    <mergeCell ref="DA22:DE22"/>
    <mergeCell ref="AX22:BB22"/>
    <mergeCell ref="BC22:BG22"/>
    <mergeCell ref="BH22:BL22"/>
    <mergeCell ref="BM22:BQ22"/>
    <mergeCell ref="BR22:BV22"/>
    <mergeCell ref="BW22:CA22"/>
    <mergeCell ref="DX23:EB23"/>
    <mergeCell ref="G22:K22"/>
    <mergeCell ref="L22:N22"/>
    <mergeCell ref="O22:S22"/>
    <mergeCell ref="T22:X22"/>
    <mergeCell ref="Y22:AC22"/>
    <mergeCell ref="AD22:AH22"/>
    <mergeCell ref="AI22:AM22"/>
    <mergeCell ref="AN22:AR22"/>
    <mergeCell ref="AS22:AW22"/>
    <mergeCell ref="CQ23:CU23"/>
    <mergeCell ref="CV23:CZ23"/>
    <mergeCell ref="DA23:DE23"/>
    <mergeCell ref="DF23:DJ23"/>
    <mergeCell ref="DL23:DR23"/>
    <mergeCell ref="DS23:DW23"/>
    <mergeCell ref="BM23:BQ23"/>
    <mergeCell ref="BR23:BV23"/>
    <mergeCell ref="BW23:CA23"/>
    <mergeCell ref="CB23:CF23"/>
    <mergeCell ref="CG23:CK23"/>
    <mergeCell ref="CL23:CP23"/>
    <mergeCell ref="AI23:AM23"/>
    <mergeCell ref="AN23:AR23"/>
    <mergeCell ref="AS23:AW23"/>
    <mergeCell ref="AX23:BB23"/>
    <mergeCell ref="BC23:BG23"/>
    <mergeCell ref="BH23:BL23"/>
    <mergeCell ref="DX24:EB24"/>
    <mergeCell ref="C25:F25"/>
    <mergeCell ref="G25:K25"/>
    <mergeCell ref="L25:N25"/>
    <mergeCell ref="O25:X25"/>
    <mergeCell ref="Y25:AH25"/>
    <mergeCell ref="BW24:CA24"/>
    <mergeCell ref="CB24:CF24"/>
    <mergeCell ref="CG24:CK24"/>
    <mergeCell ref="CL24:CP24"/>
    <mergeCell ref="CQ24:CU24"/>
    <mergeCell ref="CV24:CZ24"/>
    <mergeCell ref="AS24:AW24"/>
    <mergeCell ref="AX24:BB24"/>
    <mergeCell ref="BC24:BG24"/>
    <mergeCell ref="BH24:BL24"/>
    <mergeCell ref="BM24:BQ24"/>
    <mergeCell ref="BR24:BV24"/>
    <mergeCell ref="C24:F24"/>
    <mergeCell ref="G24:K24"/>
    <mergeCell ref="L24:N24"/>
    <mergeCell ref="O24:S24"/>
    <mergeCell ref="T24:X24"/>
    <mergeCell ref="Y24:AC24"/>
    <mergeCell ref="AD24:AH24"/>
    <mergeCell ref="AI24:AM24"/>
    <mergeCell ref="AN24:AR24"/>
    <mergeCell ref="DA24:DE24"/>
    <mergeCell ref="DF24:DJ24"/>
    <mergeCell ref="DL24:DR24"/>
    <mergeCell ref="DS24:DW24"/>
    <mergeCell ref="CQ26:CZ26"/>
    <mergeCell ref="DA26:DJ26"/>
    <mergeCell ref="DL26:DR26"/>
    <mergeCell ref="DS26:DW26"/>
    <mergeCell ref="DX26:EB26"/>
    <mergeCell ref="C27:F27"/>
    <mergeCell ref="G27:K27"/>
    <mergeCell ref="L27:N27"/>
    <mergeCell ref="O27:X27"/>
    <mergeCell ref="Y27:AH27"/>
    <mergeCell ref="AI26:AR26"/>
    <mergeCell ref="AS26:BB26"/>
    <mergeCell ref="BC26:BL26"/>
    <mergeCell ref="BM26:BV26"/>
    <mergeCell ref="BW26:CF26"/>
    <mergeCell ref="CG26:CP26"/>
    <mergeCell ref="CQ25:CZ25"/>
    <mergeCell ref="DA25:DJ25"/>
    <mergeCell ref="DL25:DR25"/>
    <mergeCell ref="DS25:DW25"/>
    <mergeCell ref="DX25:EB25"/>
    <mergeCell ref="C26:F26"/>
    <mergeCell ref="G26:K26"/>
    <mergeCell ref="L26:N26"/>
    <mergeCell ref="O26:X26"/>
    <mergeCell ref="Y26:AH26"/>
    <mergeCell ref="AI25:AR25"/>
    <mergeCell ref="AS25:BB25"/>
    <mergeCell ref="BC25:BL25"/>
    <mergeCell ref="BM25:BV25"/>
    <mergeCell ref="BW25:CF25"/>
    <mergeCell ref="CG25:CP25"/>
    <mergeCell ref="C29:F29"/>
    <mergeCell ref="G29:N29"/>
    <mergeCell ref="O29:X29"/>
    <mergeCell ref="Y29:AH29"/>
    <mergeCell ref="AI29:AR29"/>
    <mergeCell ref="AS29:BB29"/>
    <mergeCell ref="CQ27:CZ27"/>
    <mergeCell ref="DA27:DJ27"/>
    <mergeCell ref="DL27:DR27"/>
    <mergeCell ref="DS27:DW27"/>
    <mergeCell ref="DX27:EB27"/>
    <mergeCell ref="C28:F28"/>
    <mergeCell ref="DL28:DR28"/>
    <mergeCell ref="DS28:DW28"/>
    <mergeCell ref="DX28:EB28"/>
    <mergeCell ref="AI27:AR27"/>
    <mergeCell ref="AS27:BB27"/>
    <mergeCell ref="BC27:BL27"/>
    <mergeCell ref="BM27:BV27"/>
    <mergeCell ref="BW27:CF27"/>
    <mergeCell ref="CG27:CP27"/>
    <mergeCell ref="DX30:EB30"/>
    <mergeCell ref="C31:F31"/>
    <mergeCell ref="G31:K31"/>
    <mergeCell ref="L31:N31"/>
    <mergeCell ref="O31:S31"/>
    <mergeCell ref="T31:X31"/>
    <mergeCell ref="Y31:AC31"/>
    <mergeCell ref="AD31:AH31"/>
    <mergeCell ref="AI31:AM31"/>
    <mergeCell ref="AN31:AR31"/>
    <mergeCell ref="BW30:CF30"/>
    <mergeCell ref="CG30:CP30"/>
    <mergeCell ref="CQ30:CZ30"/>
    <mergeCell ref="DA30:DJ30"/>
    <mergeCell ref="DL30:DR30"/>
    <mergeCell ref="DS30:DW30"/>
    <mergeCell ref="DL29:DW29"/>
    <mergeCell ref="DX29:EB29"/>
    <mergeCell ref="C30:F30"/>
    <mergeCell ref="G30:N30"/>
    <mergeCell ref="O30:X30"/>
    <mergeCell ref="Y30:AH30"/>
    <mergeCell ref="AI30:AR30"/>
    <mergeCell ref="AS30:BB30"/>
    <mergeCell ref="BC30:BL30"/>
    <mergeCell ref="BM30:BV30"/>
    <mergeCell ref="BC29:BL29"/>
    <mergeCell ref="BM29:BV29"/>
    <mergeCell ref="BW29:CF29"/>
    <mergeCell ref="CG29:CP29"/>
    <mergeCell ref="CQ29:CZ29"/>
    <mergeCell ref="DA29:DJ29"/>
    <mergeCell ref="DA31:DE31"/>
    <mergeCell ref="DF31:DJ31"/>
    <mergeCell ref="DL31:DR31"/>
    <mergeCell ref="DS31:DW31"/>
    <mergeCell ref="DX31:EB31"/>
    <mergeCell ref="C32:F32"/>
    <mergeCell ref="G32:K32"/>
    <mergeCell ref="L32:N32"/>
    <mergeCell ref="O32:S32"/>
    <mergeCell ref="T32:X32"/>
    <mergeCell ref="BW31:CA31"/>
    <mergeCell ref="CB31:CF31"/>
    <mergeCell ref="CG31:CK31"/>
    <mergeCell ref="CL31:CP31"/>
    <mergeCell ref="CQ31:CU31"/>
    <mergeCell ref="CV31:CZ31"/>
    <mergeCell ref="AS31:AW31"/>
    <mergeCell ref="AX31:BB31"/>
    <mergeCell ref="BC31:BG31"/>
    <mergeCell ref="BH31:BL31"/>
    <mergeCell ref="BM31:BQ31"/>
    <mergeCell ref="BR31:BV31"/>
    <mergeCell ref="DL32:DR32"/>
    <mergeCell ref="DS32:DW32"/>
    <mergeCell ref="DX32:EB32"/>
    <mergeCell ref="AI33:AM33"/>
    <mergeCell ref="CG32:CK32"/>
    <mergeCell ref="CL32:CP32"/>
    <mergeCell ref="CQ32:CU32"/>
    <mergeCell ref="CV32:CZ32"/>
    <mergeCell ref="DA32:DE32"/>
    <mergeCell ref="DF32:DJ32"/>
    <mergeCell ref="BC32:BG32"/>
    <mergeCell ref="BH32:BL32"/>
    <mergeCell ref="BM32:BQ32"/>
    <mergeCell ref="BR32:BV32"/>
    <mergeCell ref="BW32:CA32"/>
    <mergeCell ref="CB32:CF32"/>
    <mergeCell ref="Y32:AC32"/>
    <mergeCell ref="AD32:AH32"/>
    <mergeCell ref="AI32:AM32"/>
    <mergeCell ref="AN32:AR32"/>
    <mergeCell ref="AS32:AW32"/>
    <mergeCell ref="AX32:BB32"/>
    <mergeCell ref="G34:K34"/>
    <mergeCell ref="L34:N34"/>
    <mergeCell ref="O34:S34"/>
    <mergeCell ref="T34:X34"/>
    <mergeCell ref="DF35:DJ35"/>
    <mergeCell ref="Y34:AC34"/>
    <mergeCell ref="AD34:AH34"/>
    <mergeCell ref="CV33:CZ33"/>
    <mergeCell ref="DA33:DE33"/>
    <mergeCell ref="DF33:DJ33"/>
    <mergeCell ref="DL33:DR33"/>
    <mergeCell ref="DS33:DW33"/>
    <mergeCell ref="DX33:EB33"/>
    <mergeCell ref="BR33:BV33"/>
    <mergeCell ref="BW33:CA33"/>
    <mergeCell ref="CB33:CF33"/>
    <mergeCell ref="CG33:CK33"/>
    <mergeCell ref="CL33:CP33"/>
    <mergeCell ref="CQ33:CU33"/>
    <mergeCell ref="AN33:AR33"/>
    <mergeCell ref="AS33:AW33"/>
    <mergeCell ref="AX33:BB33"/>
    <mergeCell ref="BC33:BG33"/>
    <mergeCell ref="BH33:BL33"/>
    <mergeCell ref="BM33:BQ33"/>
    <mergeCell ref="DX34:EB34"/>
    <mergeCell ref="G33:K33"/>
    <mergeCell ref="L33:N33"/>
    <mergeCell ref="O33:S33"/>
    <mergeCell ref="T33:X33"/>
    <mergeCell ref="Y33:AC33"/>
    <mergeCell ref="AD33:AH33"/>
    <mergeCell ref="CQ34:CU34"/>
    <mergeCell ref="CV34:CZ34"/>
    <mergeCell ref="DA34:DE34"/>
    <mergeCell ref="DF34:DJ34"/>
    <mergeCell ref="DL34:DR34"/>
    <mergeCell ref="DS34:DW34"/>
    <mergeCell ref="BM34:BQ34"/>
    <mergeCell ref="BR34:BV34"/>
    <mergeCell ref="BW34:CA34"/>
    <mergeCell ref="CB34:CF34"/>
    <mergeCell ref="CG34:CK34"/>
    <mergeCell ref="CL34:CP34"/>
    <mergeCell ref="AI34:AM34"/>
    <mergeCell ref="AN34:AR34"/>
    <mergeCell ref="AS34:AW34"/>
    <mergeCell ref="AX34:BB34"/>
    <mergeCell ref="BC34:BG34"/>
    <mergeCell ref="BH34:BL34"/>
    <mergeCell ref="DL35:DR35"/>
    <mergeCell ref="DS35:DW35"/>
    <mergeCell ref="DX35:EB35"/>
    <mergeCell ref="G36:K36"/>
    <mergeCell ref="L36:N36"/>
    <mergeCell ref="O36:S36"/>
    <mergeCell ref="T36:X36"/>
    <mergeCell ref="Y36:AC36"/>
    <mergeCell ref="AD36:AH36"/>
    <mergeCell ref="CB35:CF35"/>
    <mergeCell ref="CG35:CK35"/>
    <mergeCell ref="CL35:CP35"/>
    <mergeCell ref="CQ35:CU35"/>
    <mergeCell ref="CV35:CZ35"/>
    <mergeCell ref="DA35:DE35"/>
    <mergeCell ref="AX35:BB35"/>
    <mergeCell ref="BC35:BG35"/>
    <mergeCell ref="BH35:BL35"/>
    <mergeCell ref="BM35:BQ35"/>
    <mergeCell ref="BR35:BV35"/>
    <mergeCell ref="BW35:CA35"/>
    <mergeCell ref="DX36:EB36"/>
    <mergeCell ref="G35:K35"/>
    <mergeCell ref="L35:N35"/>
    <mergeCell ref="O35:S35"/>
    <mergeCell ref="T35:X35"/>
    <mergeCell ref="Y35:AC35"/>
    <mergeCell ref="AD35:AH35"/>
    <mergeCell ref="AI35:AM35"/>
    <mergeCell ref="AN35:AR35"/>
    <mergeCell ref="AS35:AW35"/>
    <mergeCell ref="CQ36:CU36"/>
    <mergeCell ref="CV36:CZ36"/>
    <mergeCell ref="DA36:DE36"/>
    <mergeCell ref="DF36:DJ36"/>
    <mergeCell ref="DL36:DR36"/>
    <mergeCell ref="DS36:DW36"/>
    <mergeCell ref="BM36:BQ36"/>
    <mergeCell ref="BR36:BV36"/>
    <mergeCell ref="BW36:CA36"/>
    <mergeCell ref="CB36:CF36"/>
    <mergeCell ref="CG36:CK36"/>
    <mergeCell ref="CL36:CP36"/>
    <mergeCell ref="AI36:AM36"/>
    <mergeCell ref="AN36:AR36"/>
    <mergeCell ref="AS36:AW36"/>
    <mergeCell ref="AX36:BB36"/>
    <mergeCell ref="BC36:BG36"/>
    <mergeCell ref="BH36:BL36"/>
    <mergeCell ref="DX37:EB37"/>
    <mergeCell ref="G38:K38"/>
    <mergeCell ref="L38:N38"/>
    <mergeCell ref="O38:S38"/>
    <mergeCell ref="T38:X38"/>
    <mergeCell ref="Y38:AC38"/>
    <mergeCell ref="AD38:AH38"/>
    <mergeCell ref="CB37:CF37"/>
    <mergeCell ref="CG37:CK37"/>
    <mergeCell ref="CL37:CP37"/>
    <mergeCell ref="CQ37:CU37"/>
    <mergeCell ref="CV37:CZ37"/>
    <mergeCell ref="DA37:DE37"/>
    <mergeCell ref="AX37:BB37"/>
    <mergeCell ref="BC37:BG37"/>
    <mergeCell ref="BH37:BL37"/>
    <mergeCell ref="BM37:BQ37"/>
    <mergeCell ref="BR37:BV37"/>
    <mergeCell ref="BW37:CA37"/>
    <mergeCell ref="DX38:EB38"/>
    <mergeCell ref="G37:K37"/>
    <mergeCell ref="L37:N37"/>
    <mergeCell ref="O37:S37"/>
    <mergeCell ref="T37:X37"/>
    <mergeCell ref="Y37:AC37"/>
    <mergeCell ref="AD37:AH37"/>
    <mergeCell ref="AI37:AM37"/>
    <mergeCell ref="AN37:AR37"/>
    <mergeCell ref="AS37:AW37"/>
    <mergeCell ref="DF37:DJ37"/>
    <mergeCell ref="DL37:DR37"/>
    <mergeCell ref="DS37:DW37"/>
    <mergeCell ref="CQ38:CU38"/>
    <mergeCell ref="CV38:CZ38"/>
    <mergeCell ref="DA38:DE38"/>
    <mergeCell ref="DF38:DJ38"/>
    <mergeCell ref="DL38:DR38"/>
    <mergeCell ref="DS38:DW38"/>
    <mergeCell ref="BM38:BQ38"/>
    <mergeCell ref="BR38:BV38"/>
    <mergeCell ref="BW38:CA38"/>
    <mergeCell ref="CB38:CF38"/>
    <mergeCell ref="CG38:CK38"/>
    <mergeCell ref="CL38:CP38"/>
    <mergeCell ref="AI38:AM38"/>
    <mergeCell ref="AN38:AR38"/>
    <mergeCell ref="AS38:AW38"/>
    <mergeCell ref="AX38:BB38"/>
    <mergeCell ref="BC38:BG38"/>
    <mergeCell ref="BH38:BL38"/>
    <mergeCell ref="DX39:EB39"/>
    <mergeCell ref="G40:K40"/>
    <mergeCell ref="L40:N40"/>
    <mergeCell ref="O40:S40"/>
    <mergeCell ref="T40:X40"/>
    <mergeCell ref="Y40:AC40"/>
    <mergeCell ref="AD40:AH40"/>
    <mergeCell ref="CB39:CF39"/>
    <mergeCell ref="CG39:CK39"/>
    <mergeCell ref="CL39:CP39"/>
    <mergeCell ref="CQ39:CU39"/>
    <mergeCell ref="CV39:CZ39"/>
    <mergeCell ref="DA39:DE39"/>
    <mergeCell ref="AX39:BB39"/>
    <mergeCell ref="BC39:BG39"/>
    <mergeCell ref="BH39:BL39"/>
    <mergeCell ref="BM39:BQ39"/>
    <mergeCell ref="BR39:BV39"/>
    <mergeCell ref="BW39:CA39"/>
    <mergeCell ref="DX40:EB40"/>
    <mergeCell ref="G39:K39"/>
    <mergeCell ref="L39:N39"/>
    <mergeCell ref="O39:S39"/>
    <mergeCell ref="T39:X39"/>
    <mergeCell ref="Y39:AC39"/>
    <mergeCell ref="AD39:AH39"/>
    <mergeCell ref="AI39:AM39"/>
    <mergeCell ref="AN39:AR39"/>
    <mergeCell ref="AS39:AW39"/>
    <mergeCell ref="DF39:DJ39"/>
    <mergeCell ref="DL39:DR39"/>
    <mergeCell ref="DS39:DW39"/>
    <mergeCell ref="CQ40:CU40"/>
    <mergeCell ref="CV40:CZ40"/>
    <mergeCell ref="DA40:DE40"/>
    <mergeCell ref="DF40:DJ40"/>
    <mergeCell ref="DL40:DR40"/>
    <mergeCell ref="DS40:DW40"/>
    <mergeCell ref="BM40:BQ40"/>
    <mergeCell ref="BR40:BV40"/>
    <mergeCell ref="BW40:CA40"/>
    <mergeCell ref="CB40:CF40"/>
    <mergeCell ref="CG40:CK40"/>
    <mergeCell ref="CL40:CP40"/>
    <mergeCell ref="AI40:AM40"/>
    <mergeCell ref="AN40:AR40"/>
    <mergeCell ref="AS40:AW40"/>
    <mergeCell ref="AX40:BB40"/>
    <mergeCell ref="BC40:BG40"/>
    <mergeCell ref="BH40:BL40"/>
    <mergeCell ref="DX41:EB41"/>
    <mergeCell ref="G42:K42"/>
    <mergeCell ref="L42:N42"/>
    <mergeCell ref="O42:S42"/>
    <mergeCell ref="T42:X42"/>
    <mergeCell ref="Y42:AC42"/>
    <mergeCell ref="AD42:AH42"/>
    <mergeCell ref="AI42:AM42"/>
    <mergeCell ref="CB41:CF41"/>
    <mergeCell ref="CG41:CK41"/>
    <mergeCell ref="CL41:CP41"/>
    <mergeCell ref="CQ41:CU41"/>
    <mergeCell ref="CV41:CZ41"/>
    <mergeCell ref="DA41:DE41"/>
    <mergeCell ref="AX41:BB41"/>
    <mergeCell ref="BC41:BG41"/>
    <mergeCell ref="BH41:BL41"/>
    <mergeCell ref="BM41:BQ41"/>
    <mergeCell ref="BR41:BV41"/>
    <mergeCell ref="BW41:CA41"/>
    <mergeCell ref="G41:K41"/>
    <mergeCell ref="L41:N41"/>
    <mergeCell ref="O41:S41"/>
    <mergeCell ref="T41:X41"/>
    <mergeCell ref="Y41:AC41"/>
    <mergeCell ref="AD41:AH41"/>
    <mergeCell ref="AI41:AM41"/>
    <mergeCell ref="AN41:AR41"/>
    <mergeCell ref="AS41:AW41"/>
    <mergeCell ref="DF41:DJ41"/>
    <mergeCell ref="DL41:DW41"/>
    <mergeCell ref="O43:S43"/>
    <mergeCell ref="T43:X43"/>
    <mergeCell ref="Y43:AC43"/>
    <mergeCell ref="AD43:AH43"/>
    <mergeCell ref="CV42:CZ42"/>
    <mergeCell ref="DA42:DE42"/>
    <mergeCell ref="DF42:DJ42"/>
    <mergeCell ref="DL42:DR42"/>
    <mergeCell ref="DS42:DW42"/>
    <mergeCell ref="DX42:EB42"/>
    <mergeCell ref="BR42:BV42"/>
    <mergeCell ref="BW42:CA42"/>
    <mergeCell ref="CB42:CF42"/>
    <mergeCell ref="CG42:CK42"/>
    <mergeCell ref="CL42:CP42"/>
    <mergeCell ref="CQ42:CU42"/>
    <mergeCell ref="AN42:AR42"/>
    <mergeCell ref="AS42:AW42"/>
    <mergeCell ref="AX42:BB42"/>
    <mergeCell ref="BC42:BG42"/>
    <mergeCell ref="BH42:BL42"/>
    <mergeCell ref="BM42:BQ42"/>
    <mergeCell ref="BR44:BV44"/>
    <mergeCell ref="BW44:CA44"/>
    <mergeCell ref="DX43:EB43"/>
    <mergeCell ref="G44:K44"/>
    <mergeCell ref="L44:N44"/>
    <mergeCell ref="O44:S44"/>
    <mergeCell ref="T44:X44"/>
    <mergeCell ref="Y44:AC44"/>
    <mergeCell ref="AD44:AH44"/>
    <mergeCell ref="AI44:AM44"/>
    <mergeCell ref="AN44:AR44"/>
    <mergeCell ref="AS44:AW44"/>
    <mergeCell ref="CQ43:CU43"/>
    <mergeCell ref="CV43:CZ43"/>
    <mergeCell ref="DA43:DE43"/>
    <mergeCell ref="DF43:DJ43"/>
    <mergeCell ref="DL43:DR43"/>
    <mergeCell ref="DS43:DW43"/>
    <mergeCell ref="BM43:BQ43"/>
    <mergeCell ref="BR43:BV43"/>
    <mergeCell ref="BW43:CA43"/>
    <mergeCell ref="CB43:CF43"/>
    <mergeCell ref="CG43:CK43"/>
    <mergeCell ref="CL43:CP43"/>
    <mergeCell ref="AI43:AM43"/>
    <mergeCell ref="AN43:AR43"/>
    <mergeCell ref="AS43:AW43"/>
    <mergeCell ref="AX43:BB43"/>
    <mergeCell ref="BC43:BG43"/>
    <mergeCell ref="BH43:BL43"/>
    <mergeCell ref="G43:K43"/>
    <mergeCell ref="L43:N43"/>
    <mergeCell ref="BH45:BL45"/>
    <mergeCell ref="BM45:BQ45"/>
    <mergeCell ref="BR45:BV45"/>
    <mergeCell ref="BW45:CA45"/>
    <mergeCell ref="CB45:CF45"/>
    <mergeCell ref="CG45:CK45"/>
    <mergeCell ref="AD45:AH45"/>
    <mergeCell ref="AI45:AM45"/>
    <mergeCell ref="AN45:AR45"/>
    <mergeCell ref="AS45:AW45"/>
    <mergeCell ref="AX45:BB45"/>
    <mergeCell ref="BC45:BG45"/>
    <mergeCell ref="DF44:DJ44"/>
    <mergeCell ref="DL44:DR44"/>
    <mergeCell ref="DS44:DW44"/>
    <mergeCell ref="DX44:EB44"/>
    <mergeCell ref="C45:F45"/>
    <mergeCell ref="G45:K45"/>
    <mergeCell ref="L45:N45"/>
    <mergeCell ref="O45:S45"/>
    <mergeCell ref="T45:X45"/>
    <mergeCell ref="Y45:AC45"/>
    <mergeCell ref="CB44:CF44"/>
    <mergeCell ref="CG44:CK44"/>
    <mergeCell ref="CL44:CP44"/>
    <mergeCell ref="CQ44:CU44"/>
    <mergeCell ref="CV44:CZ44"/>
    <mergeCell ref="DA44:DE44"/>
    <mergeCell ref="AX44:BB44"/>
    <mergeCell ref="BC44:BG44"/>
    <mergeCell ref="BH44:BL44"/>
    <mergeCell ref="BM44:BQ44"/>
    <mergeCell ref="DS46:DW46"/>
    <mergeCell ref="DX46:EB46"/>
    <mergeCell ref="C47:F47"/>
    <mergeCell ref="G47:K47"/>
    <mergeCell ref="L47:N47"/>
    <mergeCell ref="O47:X47"/>
    <mergeCell ref="Y47:AH47"/>
    <mergeCell ref="AI47:AR47"/>
    <mergeCell ref="AS47:BB47"/>
    <mergeCell ref="BC47:BL47"/>
    <mergeCell ref="BM46:BV46"/>
    <mergeCell ref="BW46:CF46"/>
    <mergeCell ref="CG46:CP46"/>
    <mergeCell ref="CQ46:CZ46"/>
    <mergeCell ref="DA46:DJ46"/>
    <mergeCell ref="DL46:DR46"/>
    <mergeCell ref="DS45:DW45"/>
    <mergeCell ref="DX45:EB45"/>
    <mergeCell ref="C46:F46"/>
    <mergeCell ref="G46:K46"/>
    <mergeCell ref="L46:N46"/>
    <mergeCell ref="O46:X46"/>
    <mergeCell ref="Y46:AH46"/>
    <mergeCell ref="AI46:AR46"/>
    <mergeCell ref="AS46:BB46"/>
    <mergeCell ref="BC46:BL46"/>
    <mergeCell ref="CL45:CP45"/>
    <mergeCell ref="CQ45:CU45"/>
    <mergeCell ref="CV45:CZ45"/>
    <mergeCell ref="DA45:DE45"/>
    <mergeCell ref="DF45:DJ45"/>
    <mergeCell ref="DL45:DR45"/>
    <mergeCell ref="DS48:DW48"/>
    <mergeCell ref="DX48:EB48"/>
    <mergeCell ref="C49:F49"/>
    <mergeCell ref="DL49:DR49"/>
    <mergeCell ref="DS49:DW49"/>
    <mergeCell ref="DX49:EB49"/>
    <mergeCell ref="BM48:BV48"/>
    <mergeCell ref="BW48:CF48"/>
    <mergeCell ref="CG48:CP48"/>
    <mergeCell ref="CQ48:CZ48"/>
    <mergeCell ref="DA48:DJ48"/>
    <mergeCell ref="DL48:DR48"/>
    <mergeCell ref="DS47:DW47"/>
    <mergeCell ref="DX47:EB47"/>
    <mergeCell ref="C48:F48"/>
    <mergeCell ref="G48:K48"/>
    <mergeCell ref="L48:N48"/>
    <mergeCell ref="O48:X48"/>
    <mergeCell ref="Y48:AH48"/>
    <mergeCell ref="AI48:AR48"/>
    <mergeCell ref="AS48:BB48"/>
    <mergeCell ref="BC48:BL48"/>
    <mergeCell ref="BM47:BV47"/>
    <mergeCell ref="BW47:CF47"/>
    <mergeCell ref="CG47:CP47"/>
    <mergeCell ref="CQ47:CZ47"/>
    <mergeCell ref="DA47:DJ47"/>
    <mergeCell ref="DL47:DR47"/>
    <mergeCell ref="CD51:CS51"/>
    <mergeCell ref="CT51:DA51"/>
    <mergeCell ref="DB51:DI51"/>
    <mergeCell ref="DL51:DR51"/>
    <mergeCell ref="DS51:DW51"/>
    <mergeCell ref="DX51:EB51"/>
    <mergeCell ref="DL50:DR50"/>
    <mergeCell ref="DS50:DW50"/>
    <mergeCell ref="DX50:EB50"/>
    <mergeCell ref="C51:F51"/>
    <mergeCell ref="G51:V51"/>
    <mergeCell ref="W51:AD51"/>
    <mergeCell ref="AF51:AU51"/>
    <mergeCell ref="AV51:BC51"/>
    <mergeCell ref="BE51:BT51"/>
    <mergeCell ref="BU51:CB51"/>
    <mergeCell ref="C50:F50"/>
    <mergeCell ref="G50:AD50"/>
    <mergeCell ref="AF50:BC50"/>
    <mergeCell ref="BE50:CB50"/>
    <mergeCell ref="CD50:DA50"/>
    <mergeCell ref="DB50:DI50"/>
    <mergeCell ref="C53:F53"/>
    <mergeCell ref="G53:N53"/>
    <mergeCell ref="O53:V53"/>
    <mergeCell ref="W53:AD53"/>
    <mergeCell ref="AF53:AM53"/>
    <mergeCell ref="AV52:BC52"/>
    <mergeCell ref="BE52:BL52"/>
    <mergeCell ref="BM52:BT52"/>
    <mergeCell ref="BU52:CB52"/>
    <mergeCell ref="CD52:CK52"/>
    <mergeCell ref="CL52:CS52"/>
    <mergeCell ref="C52:F52"/>
    <mergeCell ref="G52:N52"/>
    <mergeCell ref="O52:V52"/>
    <mergeCell ref="W52:AD52"/>
    <mergeCell ref="AF52:AM52"/>
    <mergeCell ref="AN52:AU52"/>
    <mergeCell ref="CL53:CS53"/>
    <mergeCell ref="CT53:DA53"/>
    <mergeCell ref="DB53:DI53"/>
    <mergeCell ref="DL53:DR53"/>
    <mergeCell ref="DS53:DW53"/>
    <mergeCell ref="DX53:EA53"/>
    <mergeCell ref="AN53:AU53"/>
    <mergeCell ref="AV53:BC53"/>
    <mergeCell ref="BE53:BL53"/>
    <mergeCell ref="BM53:BT53"/>
    <mergeCell ref="BU53:CB53"/>
    <mergeCell ref="CD53:CK53"/>
    <mergeCell ref="CT52:DA52"/>
    <mergeCell ref="DB52:DI52"/>
    <mergeCell ref="DL52:DR52"/>
    <mergeCell ref="DS52:DW52"/>
    <mergeCell ref="DX52:EB52"/>
    <mergeCell ref="C55:F55"/>
    <mergeCell ref="G55:N55"/>
    <mergeCell ref="O55:V55"/>
    <mergeCell ref="W55:AD55"/>
    <mergeCell ref="AF55:AM55"/>
    <mergeCell ref="AV54:BC54"/>
    <mergeCell ref="BE54:BL54"/>
    <mergeCell ref="BM54:BT54"/>
    <mergeCell ref="BU54:CB54"/>
    <mergeCell ref="CD54:CK54"/>
    <mergeCell ref="CL54:CS54"/>
    <mergeCell ref="C54:F54"/>
    <mergeCell ref="G54:N54"/>
    <mergeCell ref="O54:V54"/>
    <mergeCell ref="W54:AD54"/>
    <mergeCell ref="AF54:AM54"/>
    <mergeCell ref="AN54:AU54"/>
    <mergeCell ref="AN56:AU56"/>
    <mergeCell ref="CL55:CS55"/>
    <mergeCell ref="CT55:DA55"/>
    <mergeCell ref="DB55:DI55"/>
    <mergeCell ref="DL55:DR55"/>
    <mergeCell ref="DS55:DW55"/>
    <mergeCell ref="DX55:EB55"/>
    <mergeCell ref="AN55:AU55"/>
    <mergeCell ref="AV55:BC55"/>
    <mergeCell ref="BE55:BL55"/>
    <mergeCell ref="BM55:BT55"/>
    <mergeCell ref="BU55:CB55"/>
    <mergeCell ref="CD55:CK55"/>
    <mergeCell ref="CT54:DA54"/>
    <mergeCell ref="DB54:DI54"/>
    <mergeCell ref="DL54:DR54"/>
    <mergeCell ref="DS54:DW54"/>
    <mergeCell ref="DX54:EA54"/>
    <mergeCell ref="C58:F58"/>
    <mergeCell ref="G58:N58"/>
    <mergeCell ref="O58:V58"/>
    <mergeCell ref="W58:AD58"/>
    <mergeCell ref="AF58:AM58"/>
    <mergeCell ref="AN57:AU57"/>
    <mergeCell ref="AV57:BC57"/>
    <mergeCell ref="BE57:BL57"/>
    <mergeCell ref="BM57:BT57"/>
    <mergeCell ref="BU57:CB57"/>
    <mergeCell ref="CD57:CS57"/>
    <mergeCell ref="CT56:DA56"/>
    <mergeCell ref="DB56:DI56"/>
    <mergeCell ref="DL56:DR56"/>
    <mergeCell ref="DS56:DW56"/>
    <mergeCell ref="DX56:EB56"/>
    <mergeCell ref="C57:F57"/>
    <mergeCell ref="G57:N57"/>
    <mergeCell ref="O57:V57"/>
    <mergeCell ref="W57:AD57"/>
    <mergeCell ref="AF57:AM57"/>
    <mergeCell ref="AV56:BC56"/>
    <mergeCell ref="BE56:BL56"/>
    <mergeCell ref="BM56:BT56"/>
    <mergeCell ref="BU56:CB56"/>
    <mergeCell ref="CD56:CK56"/>
    <mergeCell ref="CL56:CS56"/>
    <mergeCell ref="C56:F56"/>
    <mergeCell ref="G56:N56"/>
    <mergeCell ref="O56:V56"/>
    <mergeCell ref="W56:AD56"/>
    <mergeCell ref="AF56:AM56"/>
    <mergeCell ref="CL58:CS58"/>
    <mergeCell ref="CT58:DA58"/>
    <mergeCell ref="DB58:DI58"/>
    <mergeCell ref="DL58:DR58"/>
    <mergeCell ref="DS58:DW58"/>
    <mergeCell ref="DX58:EB58"/>
    <mergeCell ref="AN58:AU58"/>
    <mergeCell ref="AV58:BC58"/>
    <mergeCell ref="BE58:BL58"/>
    <mergeCell ref="BM58:BT58"/>
    <mergeCell ref="BU58:CB58"/>
    <mergeCell ref="CD58:CK58"/>
    <mergeCell ref="CT57:DA57"/>
    <mergeCell ref="DB57:DI57"/>
    <mergeCell ref="DL57:DR57"/>
    <mergeCell ref="DS57:DW57"/>
    <mergeCell ref="DX57:EB57"/>
    <mergeCell ref="CT59:DA59"/>
    <mergeCell ref="DB59:DI59"/>
    <mergeCell ref="DL59:DR59"/>
    <mergeCell ref="DS59:DW59"/>
    <mergeCell ref="DX59:EB59"/>
    <mergeCell ref="G60:N60"/>
    <mergeCell ref="O60:V60"/>
    <mergeCell ref="W60:AD60"/>
    <mergeCell ref="AF60:AM60"/>
    <mergeCell ref="AN60:AU60"/>
    <mergeCell ref="AV59:BC59"/>
    <mergeCell ref="BE59:BL59"/>
    <mergeCell ref="BM59:BT59"/>
    <mergeCell ref="BU59:CB59"/>
    <mergeCell ref="CD59:CK59"/>
    <mergeCell ref="CL59:CS59"/>
    <mergeCell ref="C59:F59"/>
    <mergeCell ref="G59:N59"/>
    <mergeCell ref="O59:V59"/>
    <mergeCell ref="W59:AD59"/>
    <mergeCell ref="AF59:AM59"/>
    <mergeCell ref="AN59:AU59"/>
    <mergeCell ref="DW65:EA65"/>
    <mergeCell ref="CT60:DA60"/>
    <mergeCell ref="DB60:DI60"/>
    <mergeCell ref="DL60:DR60"/>
    <mergeCell ref="DS60:DW60"/>
    <mergeCell ref="DX60:EB60"/>
    <mergeCell ref="B61:BT65"/>
    <mergeCell ref="DN63:EA63"/>
    <mergeCell ref="DM65:DP65"/>
    <mergeCell ref="DQ65:DS65"/>
    <mergeCell ref="DT65:DV65"/>
    <mergeCell ref="AV60:BC60"/>
    <mergeCell ref="BE60:BL60"/>
    <mergeCell ref="BM60:BT60"/>
    <mergeCell ref="BU60:CB60"/>
    <mergeCell ref="CD60:CK60"/>
    <mergeCell ref="CL60:CS60"/>
  </mergeCells>
  <printOptions gridLinesSet="0"/>
  <pageMargins left="0.55118110236220474" right="0.15748031496062992" top="0.39370078740157483" bottom="0.39370078740157483" header="0.11811023622047245" footer="0.11811023622047245"/>
  <pageSetup paperSize="8" scale="98" orientation="landscape" r:id="rId1"/>
  <headerFooter alignWithMargins="0">
    <oddFooter>&amp;R&amp;8&amp;F</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A0C2569C5D2D54BA8CE8BE2D16393B1" ma:contentTypeVersion="3" ma:contentTypeDescription="Create a new document." ma:contentTypeScope="" ma:versionID="3548cd12efc0c8e30e32f8a36319f500">
  <xsd:schema xmlns:xsd="http://www.w3.org/2001/XMLSchema" xmlns:xs="http://www.w3.org/2001/XMLSchema" xmlns:p="http://schemas.microsoft.com/office/2006/metadata/properties" xmlns:ns2="6567141c-cc9c-45ae-a574-29d12ab021ab" targetNamespace="http://schemas.microsoft.com/office/2006/metadata/properties" ma:root="true" ma:fieldsID="46a97f0b5cbcdcd4125d69e03cf89e75" ns2:_="">
    <xsd:import namespace="6567141c-cc9c-45ae-a574-29d12ab021ab"/>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67141c-cc9c-45ae-a574-29d12ab021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633EB9A-E0A2-4DA2-861D-E26AED56F632}">
  <ds:schemaRefs>
    <ds:schemaRef ds:uri="http://schemas.openxmlformats.org/package/2006/metadata/core-properties"/>
    <ds:schemaRef ds:uri="http://schemas.microsoft.com/office/2006/documentManagement/types"/>
    <ds:schemaRef ds:uri="http://www.w3.org/XML/1998/namespace"/>
    <ds:schemaRef ds:uri="http://schemas.microsoft.com/office/2006/metadata/properties"/>
    <ds:schemaRef ds:uri="http://purl.org/dc/elements/1.1/"/>
    <ds:schemaRef ds:uri="http://purl.org/dc/terms/"/>
    <ds:schemaRef ds:uri="http://schemas.microsoft.com/office/infopath/2007/PartnerControls"/>
    <ds:schemaRef ds:uri="6567141c-cc9c-45ae-a574-29d12ab021ab"/>
    <ds:schemaRef ds:uri="http://purl.org/dc/dcmitype/"/>
  </ds:schemaRefs>
</ds:datastoreItem>
</file>

<file path=customXml/itemProps2.xml><?xml version="1.0" encoding="utf-8"?>
<ds:datastoreItem xmlns:ds="http://schemas.openxmlformats.org/officeDocument/2006/customXml" ds:itemID="{F2533AB8-17BA-4612-B0C6-6FEA471D586E}">
  <ds:schemaRefs>
    <ds:schemaRef ds:uri="http://schemas.microsoft.com/sharepoint/v3/contenttype/forms"/>
  </ds:schemaRefs>
</ds:datastoreItem>
</file>

<file path=customXml/itemProps3.xml><?xml version="1.0" encoding="utf-8"?>
<ds:datastoreItem xmlns:ds="http://schemas.openxmlformats.org/officeDocument/2006/customXml" ds:itemID="{84F36742-6D76-4BA1-8220-088D80F6FF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567141c-cc9c-45ae-a574-29d12ab021a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Mass and Energy Balance</vt:lpstr>
      <vt:lpstr>Unit op quantity and sizing</vt:lpstr>
      <vt:lpstr>Enzyme Calcs</vt:lpstr>
      <vt:lpstr>CAPEX - Liquefaction</vt:lpstr>
      <vt:lpstr>Energy calculation</vt:lpstr>
      <vt:lpstr>'CAPEX - Liquefaction'!Print_Area</vt:lpstr>
      <vt:lpstr>'Energy calculation'!Print_Area</vt:lpstr>
      <vt:lpstr>'Enzyme Calcs'!Print_Area</vt:lpstr>
      <vt:lpstr>'Mass and Energy Balance'!Print_Area</vt:lpstr>
      <vt:lpstr>'Unit op quantity and sizing'!Print_Area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Quare Bruce</dc:creator>
  <cp:lastModifiedBy>Nikita Nitzsche-Bell</cp:lastModifiedBy>
  <cp:lastPrinted>2023-12-08T20:09:53Z</cp:lastPrinted>
  <dcterms:created xsi:type="dcterms:W3CDTF">1999-07-15T12:49:25Z</dcterms:created>
  <dcterms:modified xsi:type="dcterms:W3CDTF">2025-06-23T09:20:15Z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0x0101009A0C2569C5D2D54BA8CE8BE2D16393B1</vt:lpwstr>
  </property>
  <property fmtid="{D5CDD505-2E9C-101B-9397-08002B2CF9AE}" pid="3" name="ComplianceAssetId">
    <vt:lpwstr/>
  </property>
  <property fmtid="{D5CDD505-2E9C-101B-9397-08002B2CF9AE}" pid="4" name="_ExtendedDescription">
    <vt:lpwstr/>
  </property>
  <property fmtid="{D5CDD505-2E9C-101B-9397-08002B2CF9AE}" pid="5" name="TriggerFlowInfo">
    <vt:lpwstr/>
  </property>
  <property fmtid="{D5CDD505-2E9C-101B-9397-08002B2CF9AE}" pid="6" name="_activity">
    <vt:lpwstr>{"FileActivityType":"9","FileActivityTimeStamp":"2023-10-05T13:05:56.783Z","FileActivityUsersOnPage":[{"DisplayName":"Jack Housego-Woolgar","Id":"enyjh16@nottingham.ac.uk"},{"DisplayName":"Benjamin Turgoose","Id":"enybt2@nottingham.ac.uk"},{"DisplayName":"Samuel Walker","Id":"enywf1@nottingham.ac.uk"},{"DisplayName":"Oluwafolahan Olojo","Id":"enyoo2@nottingham.ac.uk"},{"DisplayName":"Nikita Nitzsche-Bell","Id":"laynn3@nottingham.ac.uk"},{"DisplayName":"Srinya Dumrongsatit","Id":"enysd5@nottingham.ac.uk"}],"FileActivityNavigationId":null}</vt:lpwstr>
  </property>
  <property fmtid="{D5CDD505-2E9C-101B-9397-08002B2CF9AE}" pid="7" name="SharedWithUsers">
    <vt:lpwstr>30;#Benjamin Turgoose;#31;#Samuel Walker;#33;#Oluwafolahan Olojo;#32;#Nikita Nitzsche-Bell;#34;#Srinya Dumrongsatit</vt:lpwstr>
  </property>
  <property fmtid="{D5CDD505-2E9C-101B-9397-08002B2CF9AE}" pid="8" name="Order">
    <vt:r8>8500</vt:r8>
  </property>
  <property fmtid="{D5CDD505-2E9C-101B-9397-08002B2CF9AE}" pid="9" name="MediaServiceImageTags">
    <vt:lpwstr/>
  </property>
</Properties>
</file>